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ura\Dropbox\Business\จับจ่าย\รายงานใหม่ต่างๆ\file upload on web\คะแนน\"/>
    </mc:Choice>
  </mc:AlternateContent>
  <xr:revisionPtr revIDLastSave="0" documentId="8_{BBC56076-CF0E-4CC4-803D-7076385E6110}" xr6:coauthVersionLast="47" xr6:coauthVersionMax="47" xr10:uidLastSave="{00000000-0000-0000-0000-000000000000}"/>
  <bookViews>
    <workbookView xWindow="-108" yWindow="-108" windowWidth="23256" windowHeight="12456" tabRatio="697" xr2:uid="{7395EB88-74E3-4ECC-B236-83DD62BB65E7}"/>
  </bookViews>
  <sheets>
    <sheet name="ข้อควรรู้ก่อนเริ่ม " sheetId="21" r:id="rId1"/>
    <sheet name="ตั้งค่าสัดส่วนคะแนน" sheetId="7" r:id="rId2"/>
    <sheet name="คะแนนเก็บ" sheetId="1" r:id="rId3"/>
    <sheet name="กลางภาค" sheetId="11" r:id="rId4"/>
    <sheet name="คะแนนเก็บหลังกลางภาค" sheetId="22" r:id="rId5"/>
    <sheet name="ปลายภาค" sheetId="12" r:id="rId6"/>
    <sheet name="คุณลักษณะอันพึงประสงค์" sheetId="16" r:id="rId7"/>
    <sheet name="อ่านคิดวิเคราะห์" sheetId="17" r:id="rId8"/>
    <sheet name="สมรรถนะ" sheetId="18" r:id="rId9"/>
    <sheet name="สำหรับdev1" sheetId="19" state="hidden" r:id="rId10"/>
    <sheet name="สำหรับdev2" sheetId="20" state="hidden" r:id="rId11"/>
    <sheet name="Update log" sheetId="24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2" l="1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3" i="22"/>
  <c r="X44" i="22"/>
  <c r="X45" i="22"/>
  <c r="X46" i="22"/>
  <c r="X47" i="22"/>
  <c r="X48" i="22"/>
  <c r="X49" i="22"/>
  <c r="X50" i="22"/>
  <c r="X51" i="22"/>
  <c r="X52" i="22"/>
  <c r="X53" i="22"/>
  <c r="X54" i="22"/>
  <c r="X55" i="22"/>
  <c r="X56" i="22"/>
  <c r="X57" i="22"/>
  <c r="X58" i="22"/>
  <c r="X59" i="22"/>
  <c r="X60" i="22"/>
  <c r="X61" i="22"/>
  <c r="X62" i="22"/>
  <c r="X63" i="22"/>
  <c r="X64" i="22"/>
  <c r="X4" i="22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4" i="1"/>
  <c r="CN3" i="20"/>
  <c r="CO3" i="20"/>
  <c r="CP3" i="20"/>
  <c r="CQ3" i="20"/>
  <c r="CR3" i="20"/>
  <c r="CS3" i="20"/>
  <c r="CT3" i="20"/>
  <c r="CU3" i="20"/>
  <c r="CV3" i="20"/>
  <c r="CW3" i="20"/>
  <c r="CN4" i="20"/>
  <c r="CO4" i="20"/>
  <c r="CP4" i="20"/>
  <c r="CQ4" i="20"/>
  <c r="CR4" i="20"/>
  <c r="CS4" i="20"/>
  <c r="CT4" i="20"/>
  <c r="CU4" i="20"/>
  <c r="CV4" i="20"/>
  <c r="CW4" i="20"/>
  <c r="CN5" i="20"/>
  <c r="CO5" i="20"/>
  <c r="CP5" i="20"/>
  <c r="CQ5" i="20"/>
  <c r="CR5" i="20"/>
  <c r="CS5" i="20"/>
  <c r="CT5" i="20"/>
  <c r="CU5" i="20"/>
  <c r="CV5" i="20"/>
  <c r="CW5" i="20"/>
  <c r="CN6" i="20"/>
  <c r="CO6" i="20"/>
  <c r="CP6" i="20"/>
  <c r="CQ6" i="20"/>
  <c r="CR6" i="20"/>
  <c r="CS6" i="20"/>
  <c r="CT6" i="20"/>
  <c r="CU6" i="20"/>
  <c r="CV6" i="20"/>
  <c r="CW6" i="20"/>
  <c r="CN7" i="20"/>
  <c r="CO7" i="20"/>
  <c r="CP7" i="20"/>
  <c r="CQ7" i="20"/>
  <c r="CR7" i="20"/>
  <c r="CS7" i="20"/>
  <c r="CT7" i="20"/>
  <c r="CU7" i="20"/>
  <c r="CV7" i="20"/>
  <c r="CW7" i="20"/>
  <c r="CN8" i="20"/>
  <c r="CO8" i="20"/>
  <c r="CP8" i="20"/>
  <c r="CQ8" i="20"/>
  <c r="CR8" i="20"/>
  <c r="CS8" i="20"/>
  <c r="CT8" i="20"/>
  <c r="CU8" i="20"/>
  <c r="CV8" i="20"/>
  <c r="CW8" i="20"/>
  <c r="CN9" i="20"/>
  <c r="CO9" i="20"/>
  <c r="CP9" i="20"/>
  <c r="CQ9" i="20"/>
  <c r="CR9" i="20"/>
  <c r="CS9" i="20"/>
  <c r="CT9" i="20"/>
  <c r="CU9" i="20"/>
  <c r="CV9" i="20"/>
  <c r="CW9" i="20"/>
  <c r="CN10" i="20"/>
  <c r="CO10" i="20"/>
  <c r="CP10" i="20"/>
  <c r="CQ10" i="20"/>
  <c r="CR10" i="20"/>
  <c r="CS10" i="20"/>
  <c r="CT10" i="20"/>
  <c r="CU10" i="20"/>
  <c r="CV10" i="20"/>
  <c r="CW10" i="20"/>
  <c r="CN11" i="20"/>
  <c r="CO11" i="20"/>
  <c r="CP11" i="20"/>
  <c r="CQ11" i="20"/>
  <c r="CR11" i="20"/>
  <c r="CS11" i="20"/>
  <c r="CT11" i="20"/>
  <c r="CU11" i="20"/>
  <c r="CV11" i="20"/>
  <c r="CW11" i="20"/>
  <c r="CN12" i="20"/>
  <c r="CO12" i="20"/>
  <c r="CP12" i="20"/>
  <c r="CQ12" i="20"/>
  <c r="CR12" i="20"/>
  <c r="CS12" i="20"/>
  <c r="CT12" i="20"/>
  <c r="CU12" i="20"/>
  <c r="CV12" i="20"/>
  <c r="CW12" i="20"/>
  <c r="CN13" i="20"/>
  <c r="CO13" i="20"/>
  <c r="CP13" i="20"/>
  <c r="CQ13" i="20"/>
  <c r="CR13" i="20"/>
  <c r="CS13" i="20"/>
  <c r="CT13" i="20"/>
  <c r="CU13" i="20"/>
  <c r="CV13" i="20"/>
  <c r="CW13" i="20"/>
  <c r="CN14" i="20"/>
  <c r="CO14" i="20"/>
  <c r="CP14" i="20"/>
  <c r="CQ14" i="20"/>
  <c r="CR14" i="20"/>
  <c r="CS14" i="20"/>
  <c r="CT14" i="20"/>
  <c r="CU14" i="20"/>
  <c r="CV14" i="20"/>
  <c r="CW14" i="20"/>
  <c r="CN15" i="20"/>
  <c r="CO15" i="20"/>
  <c r="CP15" i="20"/>
  <c r="CQ15" i="20"/>
  <c r="CR15" i="20"/>
  <c r="CS15" i="20"/>
  <c r="CT15" i="20"/>
  <c r="CU15" i="20"/>
  <c r="CV15" i="20"/>
  <c r="CW15" i="20"/>
  <c r="CN16" i="20"/>
  <c r="CO16" i="20"/>
  <c r="CP16" i="20"/>
  <c r="CQ16" i="20"/>
  <c r="CR16" i="20"/>
  <c r="CS16" i="20"/>
  <c r="CT16" i="20"/>
  <c r="CU16" i="20"/>
  <c r="CV16" i="20"/>
  <c r="CW16" i="20"/>
  <c r="CN17" i="20"/>
  <c r="CO17" i="20"/>
  <c r="CP17" i="20"/>
  <c r="CQ17" i="20"/>
  <c r="CR17" i="20"/>
  <c r="CS17" i="20"/>
  <c r="CT17" i="20"/>
  <c r="CU17" i="20"/>
  <c r="CV17" i="20"/>
  <c r="CW17" i="20"/>
  <c r="CN18" i="20"/>
  <c r="CO18" i="20"/>
  <c r="CP18" i="20"/>
  <c r="CQ18" i="20"/>
  <c r="CR18" i="20"/>
  <c r="CS18" i="20"/>
  <c r="CT18" i="20"/>
  <c r="CU18" i="20"/>
  <c r="CV18" i="20"/>
  <c r="CW18" i="20"/>
  <c r="CN19" i="20"/>
  <c r="CO19" i="20"/>
  <c r="CP19" i="20"/>
  <c r="CQ19" i="20"/>
  <c r="CR19" i="20"/>
  <c r="CS19" i="20"/>
  <c r="CT19" i="20"/>
  <c r="CU19" i="20"/>
  <c r="CV19" i="20"/>
  <c r="CW19" i="20"/>
  <c r="CN20" i="20"/>
  <c r="CO20" i="20"/>
  <c r="CP20" i="20"/>
  <c r="CQ20" i="20"/>
  <c r="CR20" i="20"/>
  <c r="CS20" i="20"/>
  <c r="CT20" i="20"/>
  <c r="CU20" i="20"/>
  <c r="CV20" i="20"/>
  <c r="CW20" i="20"/>
  <c r="CN21" i="20"/>
  <c r="CO21" i="20"/>
  <c r="CP21" i="20"/>
  <c r="CQ21" i="20"/>
  <c r="CR21" i="20"/>
  <c r="CS21" i="20"/>
  <c r="CT21" i="20"/>
  <c r="CU21" i="20"/>
  <c r="CV21" i="20"/>
  <c r="CW21" i="20"/>
  <c r="CN22" i="20"/>
  <c r="CO22" i="20"/>
  <c r="CP22" i="20"/>
  <c r="CQ22" i="20"/>
  <c r="CR22" i="20"/>
  <c r="CS22" i="20"/>
  <c r="CT22" i="20"/>
  <c r="CU22" i="20"/>
  <c r="CV22" i="20"/>
  <c r="CW22" i="20"/>
  <c r="CN23" i="20"/>
  <c r="CO23" i="20"/>
  <c r="CP23" i="20"/>
  <c r="CQ23" i="20"/>
  <c r="CR23" i="20"/>
  <c r="CS23" i="20"/>
  <c r="CT23" i="20"/>
  <c r="CU23" i="20"/>
  <c r="CV23" i="20"/>
  <c r="CW23" i="20"/>
  <c r="CN24" i="20"/>
  <c r="CO24" i="20"/>
  <c r="CP24" i="20"/>
  <c r="CQ24" i="20"/>
  <c r="CR24" i="20"/>
  <c r="CS24" i="20"/>
  <c r="CT24" i="20"/>
  <c r="CU24" i="20"/>
  <c r="CV24" i="20"/>
  <c r="CW24" i="20"/>
  <c r="CN25" i="20"/>
  <c r="CO25" i="20"/>
  <c r="CP25" i="20"/>
  <c r="CQ25" i="20"/>
  <c r="CR25" i="20"/>
  <c r="CS25" i="20"/>
  <c r="CT25" i="20"/>
  <c r="CU25" i="20"/>
  <c r="CV25" i="20"/>
  <c r="CW25" i="20"/>
  <c r="CN26" i="20"/>
  <c r="CO26" i="20"/>
  <c r="CP26" i="20"/>
  <c r="CQ26" i="20"/>
  <c r="CR26" i="20"/>
  <c r="CS26" i="20"/>
  <c r="CT26" i="20"/>
  <c r="CU26" i="20"/>
  <c r="CV26" i="20"/>
  <c r="CW26" i="20"/>
  <c r="CN27" i="20"/>
  <c r="CO27" i="20"/>
  <c r="CP27" i="20"/>
  <c r="CQ27" i="20"/>
  <c r="CR27" i="20"/>
  <c r="CS27" i="20"/>
  <c r="CT27" i="20"/>
  <c r="CU27" i="20"/>
  <c r="CV27" i="20"/>
  <c r="CW27" i="20"/>
  <c r="CN28" i="20"/>
  <c r="CO28" i="20"/>
  <c r="CP28" i="20"/>
  <c r="CQ28" i="20"/>
  <c r="CR28" i="20"/>
  <c r="CS28" i="20"/>
  <c r="CT28" i="20"/>
  <c r="CU28" i="20"/>
  <c r="CV28" i="20"/>
  <c r="CW28" i="20"/>
  <c r="CN29" i="20"/>
  <c r="CO29" i="20"/>
  <c r="CP29" i="20"/>
  <c r="CQ29" i="20"/>
  <c r="CR29" i="20"/>
  <c r="CS29" i="20"/>
  <c r="CT29" i="20"/>
  <c r="CU29" i="20"/>
  <c r="CV29" i="20"/>
  <c r="CW29" i="20"/>
  <c r="CN30" i="20"/>
  <c r="CO30" i="20"/>
  <c r="CP30" i="20"/>
  <c r="CQ30" i="20"/>
  <c r="CR30" i="20"/>
  <c r="CS30" i="20"/>
  <c r="CT30" i="20"/>
  <c r="CU30" i="20"/>
  <c r="CV30" i="20"/>
  <c r="CW30" i="20"/>
  <c r="CN31" i="20"/>
  <c r="CO31" i="20"/>
  <c r="CP31" i="20"/>
  <c r="CQ31" i="20"/>
  <c r="CR31" i="20"/>
  <c r="CS31" i="20"/>
  <c r="CT31" i="20"/>
  <c r="CU31" i="20"/>
  <c r="CV31" i="20"/>
  <c r="CW31" i="20"/>
  <c r="CN32" i="20"/>
  <c r="CO32" i="20"/>
  <c r="CP32" i="20"/>
  <c r="CQ32" i="20"/>
  <c r="CR32" i="20"/>
  <c r="CS32" i="20"/>
  <c r="CT32" i="20"/>
  <c r="CU32" i="20"/>
  <c r="CV32" i="20"/>
  <c r="CW32" i="20"/>
  <c r="CN33" i="20"/>
  <c r="CO33" i="20"/>
  <c r="CP33" i="20"/>
  <c r="CQ33" i="20"/>
  <c r="CR33" i="20"/>
  <c r="CS33" i="20"/>
  <c r="CT33" i="20"/>
  <c r="CU33" i="20"/>
  <c r="CV33" i="20"/>
  <c r="CW33" i="20"/>
  <c r="CN34" i="20"/>
  <c r="CO34" i="20"/>
  <c r="CP34" i="20"/>
  <c r="CQ34" i="20"/>
  <c r="CR34" i="20"/>
  <c r="CS34" i="20"/>
  <c r="CT34" i="20"/>
  <c r="CU34" i="20"/>
  <c r="CV34" i="20"/>
  <c r="CW34" i="20"/>
  <c r="CN35" i="20"/>
  <c r="CO35" i="20"/>
  <c r="CP35" i="20"/>
  <c r="CQ35" i="20"/>
  <c r="CR35" i="20"/>
  <c r="CS35" i="20"/>
  <c r="CT35" i="20"/>
  <c r="CU35" i="20"/>
  <c r="CV35" i="20"/>
  <c r="CW35" i="20"/>
  <c r="CN36" i="20"/>
  <c r="CO36" i="20"/>
  <c r="CP36" i="20"/>
  <c r="CQ36" i="20"/>
  <c r="CR36" i="20"/>
  <c r="CS36" i="20"/>
  <c r="CT36" i="20"/>
  <c r="CU36" i="20"/>
  <c r="CV36" i="20"/>
  <c r="CW36" i="20"/>
  <c r="CN37" i="20"/>
  <c r="CO37" i="20"/>
  <c r="CP37" i="20"/>
  <c r="CQ37" i="20"/>
  <c r="CR37" i="20"/>
  <c r="CS37" i="20"/>
  <c r="CT37" i="20"/>
  <c r="CU37" i="20"/>
  <c r="CV37" i="20"/>
  <c r="CW37" i="20"/>
  <c r="CN38" i="20"/>
  <c r="CO38" i="20"/>
  <c r="CP38" i="20"/>
  <c r="CQ38" i="20"/>
  <c r="CR38" i="20"/>
  <c r="CS38" i="20"/>
  <c r="CT38" i="20"/>
  <c r="CU38" i="20"/>
  <c r="CV38" i="20"/>
  <c r="CW38" i="20"/>
  <c r="CN39" i="20"/>
  <c r="CO39" i="20"/>
  <c r="CP39" i="20"/>
  <c r="CQ39" i="20"/>
  <c r="CR39" i="20"/>
  <c r="CS39" i="20"/>
  <c r="CT39" i="20"/>
  <c r="CU39" i="20"/>
  <c r="CV39" i="20"/>
  <c r="CW39" i="20"/>
  <c r="CN40" i="20"/>
  <c r="CO40" i="20"/>
  <c r="CP40" i="20"/>
  <c r="CQ40" i="20"/>
  <c r="CR40" i="20"/>
  <c r="CS40" i="20"/>
  <c r="CT40" i="20"/>
  <c r="CU40" i="20"/>
  <c r="CV40" i="20"/>
  <c r="CW40" i="20"/>
  <c r="CN41" i="20"/>
  <c r="CO41" i="20"/>
  <c r="CP41" i="20"/>
  <c r="CQ41" i="20"/>
  <c r="CR41" i="20"/>
  <c r="CS41" i="20"/>
  <c r="CT41" i="20"/>
  <c r="CU41" i="20"/>
  <c r="CV41" i="20"/>
  <c r="CW41" i="20"/>
  <c r="CN42" i="20"/>
  <c r="CO42" i="20"/>
  <c r="CP42" i="20"/>
  <c r="CQ42" i="20"/>
  <c r="CR42" i="20"/>
  <c r="CS42" i="20"/>
  <c r="CT42" i="20"/>
  <c r="CU42" i="20"/>
  <c r="CV42" i="20"/>
  <c r="CW42" i="20"/>
  <c r="CN43" i="20"/>
  <c r="CO43" i="20"/>
  <c r="CP43" i="20"/>
  <c r="CQ43" i="20"/>
  <c r="CR43" i="20"/>
  <c r="CS43" i="20"/>
  <c r="CT43" i="20"/>
  <c r="CU43" i="20"/>
  <c r="CV43" i="20"/>
  <c r="CW43" i="20"/>
  <c r="CN44" i="20"/>
  <c r="CO44" i="20"/>
  <c r="CP44" i="20"/>
  <c r="CQ44" i="20"/>
  <c r="CR44" i="20"/>
  <c r="CS44" i="20"/>
  <c r="CT44" i="20"/>
  <c r="CU44" i="20"/>
  <c r="CV44" i="20"/>
  <c r="CW44" i="20"/>
  <c r="CN45" i="20"/>
  <c r="CO45" i="20"/>
  <c r="CP45" i="20"/>
  <c r="CQ45" i="20"/>
  <c r="CR45" i="20"/>
  <c r="CS45" i="20"/>
  <c r="CT45" i="20"/>
  <c r="CU45" i="20"/>
  <c r="CV45" i="20"/>
  <c r="CW45" i="20"/>
  <c r="CN46" i="20"/>
  <c r="CO46" i="20"/>
  <c r="CP46" i="20"/>
  <c r="CQ46" i="20"/>
  <c r="CR46" i="20"/>
  <c r="CS46" i="20"/>
  <c r="CT46" i="20"/>
  <c r="CU46" i="20"/>
  <c r="CV46" i="20"/>
  <c r="CW46" i="20"/>
  <c r="CN47" i="20"/>
  <c r="CO47" i="20"/>
  <c r="CP47" i="20"/>
  <c r="CQ47" i="20"/>
  <c r="CR47" i="20"/>
  <c r="CS47" i="20"/>
  <c r="CT47" i="20"/>
  <c r="CU47" i="20"/>
  <c r="CV47" i="20"/>
  <c r="CW47" i="20"/>
  <c r="CN48" i="20"/>
  <c r="CO48" i="20"/>
  <c r="CP48" i="20"/>
  <c r="CQ48" i="20"/>
  <c r="CR48" i="20"/>
  <c r="CS48" i="20"/>
  <c r="CT48" i="20"/>
  <c r="CU48" i="20"/>
  <c r="CV48" i="20"/>
  <c r="CW48" i="20"/>
  <c r="CN49" i="20"/>
  <c r="CO49" i="20"/>
  <c r="CP49" i="20"/>
  <c r="CQ49" i="20"/>
  <c r="CR49" i="20"/>
  <c r="CS49" i="20"/>
  <c r="CT49" i="20"/>
  <c r="CU49" i="20"/>
  <c r="CV49" i="20"/>
  <c r="CW49" i="20"/>
  <c r="CN50" i="20"/>
  <c r="CO50" i="20"/>
  <c r="CP50" i="20"/>
  <c r="CQ50" i="20"/>
  <c r="CR50" i="20"/>
  <c r="CS50" i="20"/>
  <c r="CT50" i="20"/>
  <c r="CU50" i="20"/>
  <c r="CV50" i="20"/>
  <c r="CW50" i="20"/>
  <c r="CN51" i="20"/>
  <c r="CO51" i="20"/>
  <c r="CP51" i="20"/>
  <c r="CQ51" i="20"/>
  <c r="CR51" i="20"/>
  <c r="CS51" i="20"/>
  <c r="CT51" i="20"/>
  <c r="CU51" i="20"/>
  <c r="CV51" i="20"/>
  <c r="CW51" i="20"/>
  <c r="CN52" i="20"/>
  <c r="CO52" i="20"/>
  <c r="CP52" i="20"/>
  <c r="CQ52" i="20"/>
  <c r="CR52" i="20"/>
  <c r="CS52" i="20"/>
  <c r="CT52" i="20"/>
  <c r="CU52" i="20"/>
  <c r="CV52" i="20"/>
  <c r="CW52" i="20"/>
  <c r="CN53" i="20"/>
  <c r="CO53" i="20"/>
  <c r="CP53" i="20"/>
  <c r="CQ53" i="20"/>
  <c r="CR53" i="20"/>
  <c r="CS53" i="20"/>
  <c r="CT53" i="20"/>
  <c r="CU53" i="20"/>
  <c r="CV53" i="20"/>
  <c r="CW53" i="20"/>
  <c r="CN54" i="20"/>
  <c r="CO54" i="20"/>
  <c r="CP54" i="20"/>
  <c r="CQ54" i="20"/>
  <c r="CR54" i="20"/>
  <c r="CS54" i="20"/>
  <c r="CT54" i="20"/>
  <c r="CU54" i="20"/>
  <c r="CV54" i="20"/>
  <c r="CW54" i="20"/>
  <c r="CN55" i="20"/>
  <c r="CO55" i="20"/>
  <c r="CP55" i="20"/>
  <c r="CQ55" i="20"/>
  <c r="CR55" i="20"/>
  <c r="CS55" i="20"/>
  <c r="CT55" i="20"/>
  <c r="CU55" i="20"/>
  <c r="CV55" i="20"/>
  <c r="CW55" i="20"/>
  <c r="CN56" i="20"/>
  <c r="CO56" i="20"/>
  <c r="CP56" i="20"/>
  <c r="CQ56" i="20"/>
  <c r="CR56" i="20"/>
  <c r="CS56" i="20"/>
  <c r="CT56" i="20"/>
  <c r="CU56" i="20"/>
  <c r="CV56" i="20"/>
  <c r="CW56" i="20"/>
  <c r="CN57" i="20"/>
  <c r="CO57" i="20"/>
  <c r="CP57" i="20"/>
  <c r="CQ57" i="20"/>
  <c r="CR57" i="20"/>
  <c r="CS57" i="20"/>
  <c r="CT57" i="20"/>
  <c r="CU57" i="20"/>
  <c r="CV57" i="20"/>
  <c r="CW57" i="20"/>
  <c r="CN58" i="20"/>
  <c r="CO58" i="20"/>
  <c r="CP58" i="20"/>
  <c r="CQ58" i="20"/>
  <c r="CR58" i="20"/>
  <c r="CS58" i="20"/>
  <c r="CT58" i="20"/>
  <c r="CU58" i="20"/>
  <c r="CV58" i="20"/>
  <c r="CW58" i="20"/>
  <c r="CN59" i="20"/>
  <c r="CO59" i="20"/>
  <c r="CP59" i="20"/>
  <c r="CQ59" i="20"/>
  <c r="CR59" i="20"/>
  <c r="CS59" i="20"/>
  <c r="CT59" i="20"/>
  <c r="CU59" i="20"/>
  <c r="CV59" i="20"/>
  <c r="CW59" i="20"/>
  <c r="CN60" i="20"/>
  <c r="CO60" i="20"/>
  <c r="CP60" i="20"/>
  <c r="CQ60" i="20"/>
  <c r="CR60" i="20"/>
  <c r="CS60" i="20"/>
  <c r="CT60" i="20"/>
  <c r="CU60" i="20"/>
  <c r="CV60" i="20"/>
  <c r="CW60" i="20"/>
  <c r="CN61" i="20"/>
  <c r="CO61" i="20"/>
  <c r="CP61" i="20"/>
  <c r="CQ61" i="20"/>
  <c r="CR61" i="20"/>
  <c r="CS61" i="20"/>
  <c r="CT61" i="20"/>
  <c r="CU61" i="20"/>
  <c r="CV61" i="20"/>
  <c r="CW61" i="20"/>
  <c r="CO2" i="20"/>
  <c r="CP2" i="20"/>
  <c r="CQ2" i="20"/>
  <c r="CR2" i="20"/>
  <c r="CS2" i="20"/>
  <c r="CT2" i="20"/>
  <c r="CU2" i="20"/>
  <c r="CV2" i="20"/>
  <c r="CW2" i="20"/>
  <c r="CN2" i="20"/>
  <c r="BU3" i="20"/>
  <c r="BU4" i="20"/>
  <c r="BU5" i="20"/>
  <c r="BU6" i="20"/>
  <c r="BU7" i="20"/>
  <c r="BU8" i="20"/>
  <c r="BU9" i="20"/>
  <c r="BU10" i="20"/>
  <c r="BU11" i="20"/>
  <c r="BU12" i="20"/>
  <c r="BU13" i="20"/>
  <c r="BU14" i="20"/>
  <c r="BU15" i="20"/>
  <c r="BU16" i="20"/>
  <c r="BU17" i="20"/>
  <c r="BU18" i="20"/>
  <c r="BU19" i="20"/>
  <c r="BU20" i="20"/>
  <c r="BU21" i="20"/>
  <c r="BU22" i="20"/>
  <c r="BU23" i="20"/>
  <c r="BU24" i="20"/>
  <c r="BU25" i="20"/>
  <c r="BU26" i="20"/>
  <c r="BU27" i="20"/>
  <c r="BU28" i="20"/>
  <c r="BU29" i="20"/>
  <c r="BU30" i="20"/>
  <c r="BU31" i="20"/>
  <c r="BU32" i="20"/>
  <c r="BU33" i="20"/>
  <c r="BU34" i="20"/>
  <c r="BU35" i="20"/>
  <c r="BU36" i="20"/>
  <c r="BU37" i="20"/>
  <c r="BU38" i="20"/>
  <c r="BU39" i="20"/>
  <c r="BU40" i="20"/>
  <c r="BU41" i="20"/>
  <c r="BU42" i="20"/>
  <c r="BU43" i="20"/>
  <c r="BU44" i="20"/>
  <c r="BU45" i="20"/>
  <c r="BU46" i="20"/>
  <c r="BU47" i="20"/>
  <c r="BU48" i="20"/>
  <c r="BU49" i="20"/>
  <c r="BU50" i="20"/>
  <c r="BU51" i="20"/>
  <c r="BU52" i="20"/>
  <c r="BU53" i="20"/>
  <c r="BU54" i="20"/>
  <c r="BU55" i="20"/>
  <c r="BU56" i="20"/>
  <c r="BU57" i="20"/>
  <c r="BU58" i="20"/>
  <c r="BU59" i="20"/>
  <c r="BU60" i="20"/>
  <c r="BU61" i="20"/>
  <c r="BU2" i="20"/>
  <c r="BT3" i="20"/>
  <c r="BT4" i="20"/>
  <c r="BT5" i="20"/>
  <c r="BT6" i="20"/>
  <c r="BT7" i="20"/>
  <c r="BT8" i="20"/>
  <c r="BT9" i="20"/>
  <c r="BT10" i="20"/>
  <c r="BT11" i="20"/>
  <c r="BT12" i="20"/>
  <c r="BT13" i="20"/>
  <c r="BT14" i="20"/>
  <c r="BT15" i="20"/>
  <c r="BT16" i="20"/>
  <c r="BT17" i="20"/>
  <c r="BT18" i="20"/>
  <c r="BT19" i="20"/>
  <c r="BT20" i="20"/>
  <c r="BT21" i="20"/>
  <c r="BT22" i="20"/>
  <c r="BT23" i="20"/>
  <c r="BT24" i="20"/>
  <c r="BT25" i="20"/>
  <c r="BT26" i="20"/>
  <c r="BT27" i="20"/>
  <c r="BT28" i="20"/>
  <c r="BT29" i="20"/>
  <c r="BT30" i="20"/>
  <c r="BT31" i="20"/>
  <c r="BT32" i="20"/>
  <c r="BT33" i="20"/>
  <c r="BT34" i="20"/>
  <c r="BT35" i="20"/>
  <c r="BT36" i="20"/>
  <c r="BT37" i="20"/>
  <c r="BT38" i="20"/>
  <c r="BT39" i="20"/>
  <c r="BT40" i="20"/>
  <c r="BT41" i="20"/>
  <c r="BT42" i="20"/>
  <c r="BT43" i="20"/>
  <c r="BT44" i="20"/>
  <c r="BT45" i="20"/>
  <c r="BT46" i="20"/>
  <c r="BT47" i="20"/>
  <c r="BT48" i="20"/>
  <c r="BT49" i="20"/>
  <c r="BT50" i="20"/>
  <c r="BT51" i="20"/>
  <c r="BT52" i="20"/>
  <c r="BT53" i="20"/>
  <c r="BT54" i="20"/>
  <c r="BT55" i="20"/>
  <c r="BT56" i="20"/>
  <c r="BT57" i="20"/>
  <c r="BT58" i="20"/>
  <c r="BT59" i="20"/>
  <c r="BT60" i="20"/>
  <c r="BT61" i="20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4" i="12"/>
  <c r="N4" i="11"/>
  <c r="N5" i="11"/>
  <c r="BT2" i="20" s="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" i="11"/>
  <c r="GK2" i="19"/>
  <c r="GL2" i="19"/>
  <c r="GM2" i="19"/>
  <c r="GN2" i="19"/>
  <c r="GO2" i="19"/>
  <c r="GP2" i="19"/>
  <c r="GQ2" i="19"/>
  <c r="GR2" i="19"/>
  <c r="GS2" i="19"/>
  <c r="GJ2" i="19"/>
  <c r="GA2" i="19"/>
  <c r="GB2" i="19"/>
  <c r="GC2" i="19"/>
  <c r="GD2" i="19"/>
  <c r="GE2" i="19"/>
  <c r="GF2" i="19"/>
  <c r="GG2" i="19"/>
  <c r="GH2" i="19"/>
  <c r="GI2" i="19"/>
  <c r="FZ2" i="19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4" i="18"/>
  <c r="N5" i="18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4" i="17"/>
  <c r="I5" i="17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X41" i="16"/>
  <c r="X42" i="16"/>
  <c r="X43" i="16"/>
  <c r="X44" i="16"/>
  <c r="X45" i="16"/>
  <c r="X46" i="16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4" i="16"/>
  <c r="X5" i="16"/>
  <c r="CI2" i="20"/>
  <c r="CJ2" i="20"/>
  <c r="CK2" i="20"/>
  <c r="CL2" i="20"/>
  <c r="CM2" i="20"/>
  <c r="CI3" i="20"/>
  <c r="CJ3" i="20"/>
  <c r="CK3" i="20"/>
  <c r="CL3" i="20"/>
  <c r="CM3" i="20"/>
  <c r="CI4" i="20"/>
  <c r="CJ4" i="20"/>
  <c r="CK4" i="20"/>
  <c r="CL4" i="20"/>
  <c r="CM4" i="20"/>
  <c r="CI5" i="20"/>
  <c r="CJ5" i="20"/>
  <c r="CK5" i="20"/>
  <c r="CL5" i="20"/>
  <c r="CM5" i="20"/>
  <c r="CI6" i="20"/>
  <c r="CJ6" i="20"/>
  <c r="CK6" i="20"/>
  <c r="CL6" i="20"/>
  <c r="CM6" i="20"/>
  <c r="CI7" i="20"/>
  <c r="CJ7" i="20"/>
  <c r="CK7" i="20"/>
  <c r="CL7" i="20"/>
  <c r="CM7" i="20"/>
  <c r="CI8" i="20"/>
  <c r="CJ8" i="20"/>
  <c r="CK8" i="20"/>
  <c r="CL8" i="20"/>
  <c r="CM8" i="20"/>
  <c r="CI9" i="20"/>
  <c r="CJ9" i="20"/>
  <c r="CK9" i="20"/>
  <c r="CL9" i="20"/>
  <c r="CM9" i="20"/>
  <c r="CI10" i="20"/>
  <c r="CJ10" i="20"/>
  <c r="CK10" i="20"/>
  <c r="CL10" i="20"/>
  <c r="CM10" i="20"/>
  <c r="CI11" i="20"/>
  <c r="CJ11" i="20"/>
  <c r="CK11" i="20"/>
  <c r="CL11" i="20"/>
  <c r="CM11" i="20"/>
  <c r="CI12" i="20"/>
  <c r="CJ12" i="20"/>
  <c r="CK12" i="20"/>
  <c r="CL12" i="20"/>
  <c r="CM12" i="20"/>
  <c r="CI13" i="20"/>
  <c r="CJ13" i="20"/>
  <c r="CK13" i="20"/>
  <c r="CL13" i="20"/>
  <c r="CM13" i="20"/>
  <c r="CI14" i="20"/>
  <c r="CJ14" i="20"/>
  <c r="CK14" i="20"/>
  <c r="CL14" i="20"/>
  <c r="CM14" i="20"/>
  <c r="CI15" i="20"/>
  <c r="CJ15" i="20"/>
  <c r="CK15" i="20"/>
  <c r="CL15" i="20"/>
  <c r="CM15" i="20"/>
  <c r="CI16" i="20"/>
  <c r="CJ16" i="20"/>
  <c r="CK16" i="20"/>
  <c r="CL16" i="20"/>
  <c r="CM16" i="20"/>
  <c r="CI17" i="20"/>
  <c r="CJ17" i="20"/>
  <c r="CK17" i="20"/>
  <c r="CL17" i="20"/>
  <c r="CM17" i="20"/>
  <c r="CI18" i="20"/>
  <c r="CJ18" i="20"/>
  <c r="CK18" i="20"/>
  <c r="CL18" i="20"/>
  <c r="CM18" i="20"/>
  <c r="CI19" i="20"/>
  <c r="CJ19" i="20"/>
  <c r="CK19" i="20"/>
  <c r="CL19" i="20"/>
  <c r="CM19" i="20"/>
  <c r="CI20" i="20"/>
  <c r="CJ20" i="20"/>
  <c r="CK20" i="20"/>
  <c r="CL20" i="20"/>
  <c r="CM20" i="20"/>
  <c r="CI21" i="20"/>
  <c r="CJ21" i="20"/>
  <c r="CK21" i="20"/>
  <c r="CL21" i="20"/>
  <c r="CM21" i="20"/>
  <c r="CI22" i="20"/>
  <c r="CJ22" i="20"/>
  <c r="CK22" i="20"/>
  <c r="CL22" i="20"/>
  <c r="CM22" i="20"/>
  <c r="CI23" i="20"/>
  <c r="CJ23" i="20"/>
  <c r="CK23" i="20"/>
  <c r="CL23" i="20"/>
  <c r="CM23" i="20"/>
  <c r="CI24" i="20"/>
  <c r="CJ24" i="20"/>
  <c r="CK24" i="20"/>
  <c r="CL24" i="20"/>
  <c r="CM24" i="20"/>
  <c r="CI25" i="20"/>
  <c r="CJ25" i="20"/>
  <c r="CK25" i="20"/>
  <c r="CL25" i="20"/>
  <c r="CM25" i="20"/>
  <c r="CI26" i="20"/>
  <c r="CJ26" i="20"/>
  <c r="CK26" i="20"/>
  <c r="CL26" i="20"/>
  <c r="CM26" i="20"/>
  <c r="CI27" i="20"/>
  <c r="CJ27" i="20"/>
  <c r="CK27" i="20"/>
  <c r="CL27" i="20"/>
  <c r="CM27" i="20"/>
  <c r="CI28" i="20"/>
  <c r="CJ28" i="20"/>
  <c r="CK28" i="20"/>
  <c r="CL28" i="20"/>
  <c r="CM28" i="20"/>
  <c r="CI29" i="20"/>
  <c r="CJ29" i="20"/>
  <c r="CK29" i="20"/>
  <c r="CL29" i="20"/>
  <c r="CM29" i="20"/>
  <c r="CI30" i="20"/>
  <c r="CJ30" i="20"/>
  <c r="CK30" i="20"/>
  <c r="CL30" i="20"/>
  <c r="CM30" i="20"/>
  <c r="CI31" i="20"/>
  <c r="CJ31" i="20"/>
  <c r="CK31" i="20"/>
  <c r="CL31" i="20"/>
  <c r="CM31" i="20"/>
  <c r="CI32" i="20"/>
  <c r="CJ32" i="20"/>
  <c r="CK32" i="20"/>
  <c r="CL32" i="20"/>
  <c r="CM32" i="20"/>
  <c r="CI33" i="20"/>
  <c r="CJ33" i="20"/>
  <c r="CK33" i="20"/>
  <c r="CL33" i="20"/>
  <c r="CM33" i="20"/>
  <c r="CI34" i="20"/>
  <c r="CJ34" i="20"/>
  <c r="CK34" i="20"/>
  <c r="CL34" i="20"/>
  <c r="CM34" i="20"/>
  <c r="CI35" i="20"/>
  <c r="CJ35" i="20"/>
  <c r="CK35" i="20"/>
  <c r="CL35" i="20"/>
  <c r="CM35" i="20"/>
  <c r="CI36" i="20"/>
  <c r="CJ36" i="20"/>
  <c r="CK36" i="20"/>
  <c r="CL36" i="20"/>
  <c r="CM36" i="20"/>
  <c r="CI37" i="20"/>
  <c r="CJ37" i="20"/>
  <c r="CK37" i="20"/>
  <c r="CL37" i="20"/>
  <c r="CM37" i="20"/>
  <c r="CI38" i="20"/>
  <c r="CJ38" i="20"/>
  <c r="CK38" i="20"/>
  <c r="CL38" i="20"/>
  <c r="CM38" i="20"/>
  <c r="CI39" i="20"/>
  <c r="CJ39" i="20"/>
  <c r="CK39" i="20"/>
  <c r="CL39" i="20"/>
  <c r="CM39" i="20"/>
  <c r="CI40" i="20"/>
  <c r="CJ40" i="20"/>
  <c r="CK40" i="20"/>
  <c r="CL40" i="20"/>
  <c r="CM40" i="20"/>
  <c r="CI41" i="20"/>
  <c r="CJ41" i="20"/>
  <c r="CK41" i="20"/>
  <c r="CL41" i="20"/>
  <c r="CM41" i="20"/>
  <c r="CI42" i="20"/>
  <c r="CJ42" i="20"/>
  <c r="CK42" i="20"/>
  <c r="CL42" i="20"/>
  <c r="CM42" i="20"/>
  <c r="CI43" i="20"/>
  <c r="CJ43" i="20"/>
  <c r="CK43" i="20"/>
  <c r="CL43" i="20"/>
  <c r="CM43" i="20"/>
  <c r="CI44" i="20"/>
  <c r="CJ44" i="20"/>
  <c r="CK44" i="20"/>
  <c r="CL44" i="20"/>
  <c r="CM44" i="20"/>
  <c r="CI45" i="20"/>
  <c r="CJ45" i="20"/>
  <c r="CK45" i="20"/>
  <c r="CL45" i="20"/>
  <c r="CM45" i="20"/>
  <c r="CI46" i="20"/>
  <c r="CJ46" i="20"/>
  <c r="CK46" i="20"/>
  <c r="CL46" i="20"/>
  <c r="CM46" i="20"/>
  <c r="CI47" i="20"/>
  <c r="CJ47" i="20"/>
  <c r="CK47" i="20"/>
  <c r="CL47" i="20"/>
  <c r="CM47" i="20"/>
  <c r="CI48" i="20"/>
  <c r="CJ48" i="20"/>
  <c r="CK48" i="20"/>
  <c r="CL48" i="20"/>
  <c r="CM48" i="20"/>
  <c r="CI49" i="20"/>
  <c r="CJ49" i="20"/>
  <c r="CK49" i="20"/>
  <c r="CL49" i="20"/>
  <c r="CM49" i="20"/>
  <c r="CI50" i="20"/>
  <c r="CJ50" i="20"/>
  <c r="CK50" i="20"/>
  <c r="CL50" i="20"/>
  <c r="CM50" i="20"/>
  <c r="CI51" i="20"/>
  <c r="CJ51" i="20"/>
  <c r="CK51" i="20"/>
  <c r="CL51" i="20"/>
  <c r="CM51" i="20"/>
  <c r="CI52" i="20"/>
  <c r="CJ52" i="20"/>
  <c r="CK52" i="20"/>
  <c r="CL52" i="20"/>
  <c r="CM52" i="20"/>
  <c r="CI53" i="20"/>
  <c r="CJ53" i="20"/>
  <c r="CK53" i="20"/>
  <c r="CL53" i="20"/>
  <c r="CM53" i="20"/>
  <c r="CI54" i="20"/>
  <c r="CJ54" i="20"/>
  <c r="CK54" i="20"/>
  <c r="CL54" i="20"/>
  <c r="CM54" i="20"/>
  <c r="CI55" i="20"/>
  <c r="CJ55" i="20"/>
  <c r="CK55" i="20"/>
  <c r="CL55" i="20"/>
  <c r="CM55" i="20"/>
  <c r="CI56" i="20"/>
  <c r="CJ56" i="20"/>
  <c r="CK56" i="20"/>
  <c r="CL56" i="20"/>
  <c r="CM56" i="20"/>
  <c r="CI57" i="20"/>
  <c r="CJ57" i="20"/>
  <c r="CK57" i="20"/>
  <c r="CL57" i="20"/>
  <c r="CM57" i="20"/>
  <c r="CI58" i="20"/>
  <c r="CJ58" i="20"/>
  <c r="CK58" i="20"/>
  <c r="CL58" i="20"/>
  <c r="CM58" i="20"/>
  <c r="CI59" i="20"/>
  <c r="CJ59" i="20"/>
  <c r="CK59" i="20"/>
  <c r="CL59" i="20"/>
  <c r="CM59" i="20"/>
  <c r="CI60" i="20"/>
  <c r="CJ60" i="20"/>
  <c r="CK60" i="20"/>
  <c r="CL60" i="20"/>
  <c r="CM60" i="20"/>
  <c r="CI61" i="20"/>
  <c r="CJ61" i="20"/>
  <c r="CK61" i="20"/>
  <c r="CL61" i="20"/>
  <c r="CM61" i="20"/>
  <c r="FU2" i="19"/>
  <c r="FV2" i="19"/>
  <c r="FW2" i="19"/>
  <c r="FX2" i="19"/>
  <c r="FY2" i="19"/>
  <c r="FT2" i="19"/>
  <c r="FS2" i="19"/>
  <c r="FK2" i="19"/>
  <c r="FL2" i="19"/>
  <c r="FM2" i="19"/>
  <c r="FN2" i="19"/>
  <c r="FO2" i="19"/>
  <c r="CE2" i="20" l="1"/>
  <c r="CF2" i="20"/>
  <c r="CG2" i="20"/>
  <c r="CH2" i="20"/>
  <c r="CE3" i="20"/>
  <c r="CF3" i="20"/>
  <c r="CG3" i="20"/>
  <c r="CH3" i="20"/>
  <c r="CE4" i="20"/>
  <c r="CF4" i="20"/>
  <c r="CG4" i="20"/>
  <c r="CH4" i="20"/>
  <c r="CE5" i="20"/>
  <c r="CF5" i="20"/>
  <c r="CG5" i="20"/>
  <c r="CH5" i="20"/>
  <c r="CE6" i="20"/>
  <c r="CF6" i="20"/>
  <c r="CG6" i="20"/>
  <c r="CH6" i="20"/>
  <c r="CE7" i="20"/>
  <c r="CF7" i="20"/>
  <c r="CG7" i="20"/>
  <c r="CH7" i="20"/>
  <c r="CE8" i="20"/>
  <c r="CF8" i="20"/>
  <c r="CG8" i="20"/>
  <c r="CH8" i="20"/>
  <c r="CE9" i="20"/>
  <c r="CF9" i="20"/>
  <c r="CG9" i="20"/>
  <c r="CH9" i="20"/>
  <c r="CE10" i="20"/>
  <c r="CF10" i="20"/>
  <c r="CG10" i="20"/>
  <c r="CH10" i="20"/>
  <c r="CE11" i="20"/>
  <c r="CF11" i="20"/>
  <c r="CG11" i="20"/>
  <c r="CH11" i="20"/>
  <c r="CE12" i="20"/>
  <c r="CF12" i="20"/>
  <c r="CG12" i="20"/>
  <c r="CH12" i="20"/>
  <c r="CE13" i="20"/>
  <c r="CF13" i="20"/>
  <c r="CG13" i="20"/>
  <c r="CH13" i="20"/>
  <c r="CE14" i="20"/>
  <c r="CF14" i="20"/>
  <c r="CG14" i="20"/>
  <c r="CH14" i="20"/>
  <c r="CE15" i="20"/>
  <c r="CF15" i="20"/>
  <c r="CG15" i="20"/>
  <c r="CH15" i="20"/>
  <c r="CE16" i="20"/>
  <c r="CF16" i="20"/>
  <c r="CG16" i="20"/>
  <c r="CH16" i="20"/>
  <c r="CE17" i="20"/>
  <c r="CF17" i="20"/>
  <c r="CG17" i="20"/>
  <c r="CH17" i="20"/>
  <c r="CE18" i="20"/>
  <c r="CF18" i="20"/>
  <c r="CG18" i="20"/>
  <c r="CH18" i="20"/>
  <c r="CE19" i="20"/>
  <c r="CF19" i="20"/>
  <c r="CG19" i="20"/>
  <c r="CH19" i="20"/>
  <c r="CE20" i="20"/>
  <c r="CF20" i="20"/>
  <c r="CG20" i="20"/>
  <c r="CH20" i="20"/>
  <c r="CE21" i="20"/>
  <c r="CF21" i="20"/>
  <c r="CG21" i="20"/>
  <c r="CH21" i="20"/>
  <c r="CE22" i="20"/>
  <c r="CF22" i="20"/>
  <c r="CG22" i="20"/>
  <c r="CH22" i="20"/>
  <c r="CE23" i="20"/>
  <c r="CF23" i="20"/>
  <c r="CG23" i="20"/>
  <c r="CH23" i="20"/>
  <c r="CE24" i="20"/>
  <c r="CF24" i="20"/>
  <c r="CG24" i="20"/>
  <c r="CH24" i="20"/>
  <c r="CE25" i="20"/>
  <c r="CF25" i="20"/>
  <c r="CG25" i="20"/>
  <c r="CH25" i="20"/>
  <c r="CE26" i="20"/>
  <c r="CF26" i="20"/>
  <c r="CG26" i="20"/>
  <c r="CH26" i="20"/>
  <c r="CE27" i="20"/>
  <c r="CF27" i="20"/>
  <c r="CG27" i="20"/>
  <c r="CH27" i="20"/>
  <c r="CE28" i="20"/>
  <c r="CF28" i="20"/>
  <c r="CG28" i="20"/>
  <c r="CH28" i="20"/>
  <c r="CE29" i="20"/>
  <c r="CF29" i="20"/>
  <c r="CG29" i="20"/>
  <c r="CH29" i="20"/>
  <c r="CE30" i="20"/>
  <c r="CF30" i="20"/>
  <c r="CG30" i="20"/>
  <c r="CH30" i="20"/>
  <c r="CE31" i="20"/>
  <c r="CF31" i="20"/>
  <c r="CG31" i="20"/>
  <c r="CH31" i="20"/>
  <c r="CE32" i="20"/>
  <c r="CF32" i="20"/>
  <c r="CG32" i="20"/>
  <c r="CH32" i="20"/>
  <c r="CE33" i="20"/>
  <c r="CF33" i="20"/>
  <c r="CG33" i="20"/>
  <c r="CH33" i="20"/>
  <c r="CE34" i="20"/>
  <c r="CF34" i="20"/>
  <c r="CG34" i="20"/>
  <c r="CH34" i="20"/>
  <c r="CE35" i="20"/>
  <c r="CF35" i="20"/>
  <c r="CG35" i="20"/>
  <c r="CH35" i="20"/>
  <c r="CE36" i="20"/>
  <c r="CF36" i="20"/>
  <c r="CG36" i="20"/>
  <c r="CH36" i="20"/>
  <c r="CE37" i="20"/>
  <c r="CF37" i="20"/>
  <c r="CG37" i="20"/>
  <c r="CH37" i="20"/>
  <c r="CE38" i="20"/>
  <c r="CF38" i="20"/>
  <c r="CG38" i="20"/>
  <c r="CH38" i="20"/>
  <c r="CE39" i="20"/>
  <c r="CF39" i="20"/>
  <c r="CG39" i="20"/>
  <c r="CH39" i="20"/>
  <c r="CE40" i="20"/>
  <c r="CF40" i="20"/>
  <c r="CG40" i="20"/>
  <c r="CH40" i="20"/>
  <c r="CE41" i="20"/>
  <c r="CF41" i="20"/>
  <c r="CG41" i="20"/>
  <c r="CH41" i="20"/>
  <c r="CE42" i="20"/>
  <c r="CF42" i="20"/>
  <c r="CG42" i="20"/>
  <c r="CH42" i="20"/>
  <c r="CE43" i="20"/>
  <c r="CF43" i="20"/>
  <c r="CG43" i="20"/>
  <c r="CH43" i="20"/>
  <c r="CE44" i="20"/>
  <c r="CF44" i="20"/>
  <c r="CG44" i="20"/>
  <c r="CH44" i="20"/>
  <c r="CE45" i="20"/>
  <c r="CF45" i="20"/>
  <c r="CG45" i="20"/>
  <c r="CH45" i="20"/>
  <c r="CE46" i="20"/>
  <c r="CF46" i="20"/>
  <c r="CG46" i="20"/>
  <c r="CH46" i="20"/>
  <c r="CE47" i="20"/>
  <c r="CF47" i="20"/>
  <c r="CG47" i="20"/>
  <c r="CH47" i="20"/>
  <c r="CE48" i="20"/>
  <c r="CF48" i="20"/>
  <c r="CG48" i="20"/>
  <c r="CH48" i="20"/>
  <c r="CE49" i="20"/>
  <c r="CF49" i="20"/>
  <c r="CG49" i="20"/>
  <c r="CH49" i="20"/>
  <c r="CE50" i="20"/>
  <c r="CF50" i="20"/>
  <c r="CG50" i="20"/>
  <c r="CH50" i="20"/>
  <c r="CE51" i="20"/>
  <c r="CF51" i="20"/>
  <c r="CG51" i="20"/>
  <c r="CH51" i="20"/>
  <c r="CE52" i="20"/>
  <c r="CF52" i="20"/>
  <c r="CG52" i="20"/>
  <c r="CH52" i="20"/>
  <c r="CE53" i="20"/>
  <c r="CF53" i="20"/>
  <c r="CG53" i="20"/>
  <c r="CH53" i="20"/>
  <c r="CE54" i="20"/>
  <c r="CF54" i="20"/>
  <c r="CG54" i="20"/>
  <c r="CH54" i="20"/>
  <c r="CE55" i="20"/>
  <c r="CF55" i="20"/>
  <c r="CG55" i="20"/>
  <c r="CH55" i="20"/>
  <c r="CE56" i="20"/>
  <c r="CF56" i="20"/>
  <c r="CG56" i="20"/>
  <c r="CH56" i="20"/>
  <c r="CE57" i="20"/>
  <c r="CF57" i="20"/>
  <c r="CG57" i="20"/>
  <c r="CH57" i="20"/>
  <c r="CE58" i="20"/>
  <c r="CF58" i="20"/>
  <c r="CG58" i="20"/>
  <c r="CH58" i="20"/>
  <c r="CE59" i="20"/>
  <c r="CF59" i="20"/>
  <c r="CG59" i="20"/>
  <c r="CH59" i="20"/>
  <c r="CE60" i="20"/>
  <c r="CF60" i="20"/>
  <c r="CG60" i="20"/>
  <c r="CH60" i="20"/>
  <c r="CE61" i="20"/>
  <c r="CF61" i="20"/>
  <c r="CG61" i="20"/>
  <c r="CH61" i="20"/>
  <c r="CD3" i="20"/>
  <c r="CD4" i="20"/>
  <c r="CD5" i="20"/>
  <c r="CD6" i="20"/>
  <c r="CD7" i="20"/>
  <c r="CD8" i="20"/>
  <c r="CD9" i="20"/>
  <c r="CD10" i="20"/>
  <c r="CD11" i="20"/>
  <c r="CD12" i="20"/>
  <c r="CD13" i="20"/>
  <c r="CD14" i="20"/>
  <c r="CD15" i="20"/>
  <c r="CD16" i="20"/>
  <c r="CD17" i="20"/>
  <c r="CD18" i="20"/>
  <c r="CD19" i="20"/>
  <c r="CD20" i="20"/>
  <c r="CD21" i="20"/>
  <c r="CD22" i="20"/>
  <c r="CD23" i="20"/>
  <c r="CD24" i="20"/>
  <c r="CD25" i="20"/>
  <c r="CD26" i="20"/>
  <c r="CD27" i="20"/>
  <c r="CD28" i="20"/>
  <c r="CD29" i="20"/>
  <c r="CD30" i="20"/>
  <c r="CD31" i="20"/>
  <c r="CD32" i="20"/>
  <c r="CD33" i="20"/>
  <c r="CD34" i="20"/>
  <c r="CD35" i="20"/>
  <c r="CD36" i="20"/>
  <c r="CD37" i="20"/>
  <c r="CD38" i="20"/>
  <c r="CD39" i="20"/>
  <c r="CD40" i="20"/>
  <c r="CD41" i="20"/>
  <c r="CD42" i="20"/>
  <c r="CD43" i="20"/>
  <c r="CD44" i="20"/>
  <c r="CD45" i="20"/>
  <c r="CD46" i="20"/>
  <c r="CD47" i="20"/>
  <c r="CD48" i="20"/>
  <c r="CD49" i="20"/>
  <c r="CD50" i="20"/>
  <c r="CD51" i="20"/>
  <c r="CD52" i="20"/>
  <c r="CD53" i="20"/>
  <c r="CD54" i="20"/>
  <c r="CD55" i="20"/>
  <c r="CD56" i="20"/>
  <c r="CD57" i="20"/>
  <c r="CD58" i="20"/>
  <c r="CD59" i="20"/>
  <c r="CD60" i="20"/>
  <c r="CD61" i="20"/>
  <c r="CD2" i="20"/>
  <c r="BZ2" i="20"/>
  <c r="CA2" i="20"/>
  <c r="CB2" i="20"/>
  <c r="CC2" i="20"/>
  <c r="BZ3" i="20"/>
  <c r="CA3" i="20"/>
  <c r="CB3" i="20"/>
  <c r="CC3" i="20"/>
  <c r="BZ4" i="20"/>
  <c r="CA4" i="20"/>
  <c r="CB4" i="20"/>
  <c r="CC4" i="20"/>
  <c r="BZ5" i="20"/>
  <c r="CA5" i="20"/>
  <c r="CB5" i="20"/>
  <c r="CC5" i="20"/>
  <c r="BZ6" i="20"/>
  <c r="CA6" i="20"/>
  <c r="CB6" i="20"/>
  <c r="CC6" i="20"/>
  <c r="BZ7" i="20"/>
  <c r="CA7" i="20"/>
  <c r="CB7" i="20"/>
  <c r="CC7" i="20"/>
  <c r="BZ8" i="20"/>
  <c r="CA8" i="20"/>
  <c r="CB8" i="20"/>
  <c r="CC8" i="20"/>
  <c r="BZ9" i="20"/>
  <c r="CA9" i="20"/>
  <c r="CB9" i="20"/>
  <c r="CC9" i="20"/>
  <c r="BZ10" i="20"/>
  <c r="CA10" i="20"/>
  <c r="CB10" i="20"/>
  <c r="CC10" i="20"/>
  <c r="BZ11" i="20"/>
  <c r="CA11" i="20"/>
  <c r="CB11" i="20"/>
  <c r="CC11" i="20"/>
  <c r="BZ12" i="20"/>
  <c r="CA12" i="20"/>
  <c r="CB12" i="20"/>
  <c r="CC12" i="20"/>
  <c r="BZ13" i="20"/>
  <c r="CA13" i="20"/>
  <c r="CB13" i="20"/>
  <c r="CC13" i="20"/>
  <c r="BZ14" i="20"/>
  <c r="CA14" i="20"/>
  <c r="CB14" i="20"/>
  <c r="CC14" i="20"/>
  <c r="BZ15" i="20"/>
  <c r="CA15" i="20"/>
  <c r="CB15" i="20"/>
  <c r="CC15" i="20"/>
  <c r="BZ16" i="20"/>
  <c r="CA16" i="20"/>
  <c r="CB16" i="20"/>
  <c r="CC16" i="20"/>
  <c r="BZ17" i="20"/>
  <c r="CA17" i="20"/>
  <c r="CB17" i="20"/>
  <c r="CC17" i="20"/>
  <c r="BZ18" i="20"/>
  <c r="CA18" i="20"/>
  <c r="CB18" i="20"/>
  <c r="CC18" i="20"/>
  <c r="BZ19" i="20"/>
  <c r="CA19" i="20"/>
  <c r="CB19" i="20"/>
  <c r="CC19" i="20"/>
  <c r="BZ20" i="20"/>
  <c r="CA20" i="20"/>
  <c r="CB20" i="20"/>
  <c r="CC20" i="20"/>
  <c r="BZ21" i="20"/>
  <c r="CA21" i="20"/>
  <c r="CB21" i="20"/>
  <c r="CC21" i="20"/>
  <c r="BZ22" i="20"/>
  <c r="CA22" i="20"/>
  <c r="CB22" i="20"/>
  <c r="CC22" i="20"/>
  <c r="BZ23" i="20"/>
  <c r="CA23" i="20"/>
  <c r="CB23" i="20"/>
  <c r="CC23" i="20"/>
  <c r="BZ24" i="20"/>
  <c r="CA24" i="20"/>
  <c r="CB24" i="20"/>
  <c r="CC24" i="20"/>
  <c r="BZ25" i="20"/>
  <c r="CA25" i="20"/>
  <c r="CB25" i="20"/>
  <c r="CC25" i="20"/>
  <c r="BZ26" i="20"/>
  <c r="CA26" i="20"/>
  <c r="CB26" i="20"/>
  <c r="CC26" i="20"/>
  <c r="BZ27" i="20"/>
  <c r="CA27" i="20"/>
  <c r="CB27" i="20"/>
  <c r="CC27" i="20"/>
  <c r="BZ28" i="20"/>
  <c r="CA28" i="20"/>
  <c r="CB28" i="20"/>
  <c r="CC28" i="20"/>
  <c r="BZ29" i="20"/>
  <c r="CA29" i="20"/>
  <c r="CB29" i="20"/>
  <c r="CC29" i="20"/>
  <c r="BZ30" i="20"/>
  <c r="CA30" i="20"/>
  <c r="CB30" i="20"/>
  <c r="CC30" i="20"/>
  <c r="BZ31" i="20"/>
  <c r="CA31" i="20"/>
  <c r="CB31" i="20"/>
  <c r="CC31" i="20"/>
  <c r="BZ32" i="20"/>
  <c r="CA32" i="20"/>
  <c r="CB32" i="20"/>
  <c r="CC32" i="20"/>
  <c r="BZ33" i="20"/>
  <c r="CA33" i="20"/>
  <c r="CB33" i="20"/>
  <c r="CC33" i="20"/>
  <c r="BZ34" i="20"/>
  <c r="CA34" i="20"/>
  <c r="CB34" i="20"/>
  <c r="CC34" i="20"/>
  <c r="BZ35" i="20"/>
  <c r="CA35" i="20"/>
  <c r="CB35" i="20"/>
  <c r="CC35" i="20"/>
  <c r="BZ36" i="20"/>
  <c r="CA36" i="20"/>
  <c r="CB36" i="20"/>
  <c r="CC36" i="20"/>
  <c r="BZ37" i="20"/>
  <c r="CA37" i="20"/>
  <c r="CB37" i="20"/>
  <c r="CC37" i="20"/>
  <c r="BZ38" i="20"/>
  <c r="CA38" i="20"/>
  <c r="CB38" i="20"/>
  <c r="CC38" i="20"/>
  <c r="BZ39" i="20"/>
  <c r="CA39" i="20"/>
  <c r="CB39" i="20"/>
  <c r="CC39" i="20"/>
  <c r="BZ40" i="20"/>
  <c r="CA40" i="20"/>
  <c r="CB40" i="20"/>
  <c r="CC40" i="20"/>
  <c r="BZ41" i="20"/>
  <c r="CA41" i="20"/>
  <c r="CB41" i="20"/>
  <c r="CC41" i="20"/>
  <c r="BZ42" i="20"/>
  <c r="CA42" i="20"/>
  <c r="CB42" i="20"/>
  <c r="CC42" i="20"/>
  <c r="BZ43" i="20"/>
  <c r="CA43" i="20"/>
  <c r="CB43" i="20"/>
  <c r="CC43" i="20"/>
  <c r="BZ44" i="20"/>
  <c r="CA44" i="20"/>
  <c r="CB44" i="20"/>
  <c r="CC44" i="20"/>
  <c r="BZ45" i="20"/>
  <c r="CA45" i="20"/>
  <c r="CB45" i="20"/>
  <c r="CC45" i="20"/>
  <c r="BZ46" i="20"/>
  <c r="CA46" i="20"/>
  <c r="CB46" i="20"/>
  <c r="CC46" i="20"/>
  <c r="BZ47" i="20"/>
  <c r="CA47" i="20"/>
  <c r="CB47" i="20"/>
  <c r="CC47" i="20"/>
  <c r="BZ48" i="20"/>
  <c r="CA48" i="20"/>
  <c r="CB48" i="20"/>
  <c r="CC48" i="20"/>
  <c r="BZ49" i="20"/>
  <c r="CA49" i="20"/>
  <c r="CB49" i="20"/>
  <c r="CC49" i="20"/>
  <c r="BZ50" i="20"/>
  <c r="CA50" i="20"/>
  <c r="CB50" i="20"/>
  <c r="CC50" i="20"/>
  <c r="BZ51" i="20"/>
  <c r="CA51" i="20"/>
  <c r="CB51" i="20"/>
  <c r="CC51" i="20"/>
  <c r="BZ52" i="20"/>
  <c r="CA52" i="20"/>
  <c r="CB52" i="20"/>
  <c r="CC52" i="20"/>
  <c r="BZ53" i="20"/>
  <c r="CA53" i="20"/>
  <c r="CB53" i="20"/>
  <c r="CC53" i="20"/>
  <c r="BZ54" i="20"/>
  <c r="CA54" i="20"/>
  <c r="CB54" i="20"/>
  <c r="CC54" i="20"/>
  <c r="BZ55" i="20"/>
  <c r="CA55" i="20"/>
  <c r="CB55" i="20"/>
  <c r="CC55" i="20"/>
  <c r="BZ56" i="20"/>
  <c r="CA56" i="20"/>
  <c r="CB56" i="20"/>
  <c r="CC56" i="20"/>
  <c r="BZ57" i="20"/>
  <c r="CA57" i="20"/>
  <c r="CB57" i="20"/>
  <c r="CC57" i="20"/>
  <c r="BZ58" i="20"/>
  <c r="CA58" i="20"/>
  <c r="CB58" i="20"/>
  <c r="CC58" i="20"/>
  <c r="BZ59" i="20"/>
  <c r="CA59" i="20"/>
  <c r="CB59" i="20"/>
  <c r="CC59" i="20"/>
  <c r="BZ60" i="20"/>
  <c r="CA60" i="20"/>
  <c r="CB60" i="20"/>
  <c r="CC60" i="20"/>
  <c r="BZ61" i="20"/>
  <c r="CA61" i="20"/>
  <c r="CB61" i="20"/>
  <c r="CC61" i="20"/>
  <c r="BY3" i="20"/>
  <c r="BY4" i="20"/>
  <c r="BY5" i="20"/>
  <c r="BY6" i="20"/>
  <c r="BY7" i="20"/>
  <c r="BY8" i="20"/>
  <c r="BY9" i="20"/>
  <c r="BY10" i="20"/>
  <c r="BY11" i="20"/>
  <c r="BY12" i="20"/>
  <c r="BY13" i="20"/>
  <c r="BY14" i="20"/>
  <c r="BY15" i="20"/>
  <c r="BY16" i="20"/>
  <c r="BY17" i="20"/>
  <c r="BY18" i="20"/>
  <c r="BY19" i="20"/>
  <c r="BY20" i="20"/>
  <c r="BY21" i="20"/>
  <c r="BY22" i="20"/>
  <c r="BY23" i="20"/>
  <c r="BY24" i="20"/>
  <c r="BY25" i="20"/>
  <c r="BY26" i="20"/>
  <c r="BY27" i="20"/>
  <c r="BY28" i="20"/>
  <c r="BY29" i="20"/>
  <c r="BY30" i="20"/>
  <c r="BY31" i="20"/>
  <c r="BY32" i="20"/>
  <c r="BY33" i="20"/>
  <c r="BY34" i="20"/>
  <c r="BY35" i="20"/>
  <c r="BY36" i="20"/>
  <c r="BY37" i="20"/>
  <c r="BY38" i="20"/>
  <c r="BY39" i="20"/>
  <c r="BY40" i="20"/>
  <c r="BY41" i="20"/>
  <c r="BY42" i="20"/>
  <c r="BY43" i="20"/>
  <c r="BY44" i="20"/>
  <c r="BY45" i="20"/>
  <c r="BY46" i="20"/>
  <c r="BY47" i="20"/>
  <c r="BY48" i="20"/>
  <c r="BY49" i="20"/>
  <c r="BY50" i="20"/>
  <c r="BY51" i="20"/>
  <c r="BY52" i="20"/>
  <c r="BY53" i="20"/>
  <c r="BY54" i="20"/>
  <c r="BY55" i="20"/>
  <c r="BY56" i="20"/>
  <c r="BY57" i="20"/>
  <c r="BY58" i="20"/>
  <c r="BY59" i="20"/>
  <c r="BY60" i="20"/>
  <c r="BY61" i="20"/>
  <c r="BY2" i="20"/>
  <c r="BW3" i="20"/>
  <c r="BW4" i="20"/>
  <c r="BW5" i="20"/>
  <c r="BW6" i="20"/>
  <c r="BW7" i="20"/>
  <c r="BW8" i="20"/>
  <c r="BW9" i="20"/>
  <c r="BW10" i="20"/>
  <c r="BW11" i="20"/>
  <c r="BW12" i="20"/>
  <c r="BW13" i="20"/>
  <c r="BW14" i="20"/>
  <c r="BW15" i="20"/>
  <c r="BW16" i="20"/>
  <c r="BW17" i="20"/>
  <c r="BW18" i="20"/>
  <c r="BW19" i="20"/>
  <c r="BW20" i="20"/>
  <c r="BW21" i="20"/>
  <c r="BW22" i="20"/>
  <c r="BW23" i="20"/>
  <c r="BW24" i="20"/>
  <c r="BW25" i="20"/>
  <c r="BW26" i="20"/>
  <c r="BW27" i="20"/>
  <c r="BW28" i="20"/>
  <c r="BW29" i="20"/>
  <c r="BW30" i="20"/>
  <c r="BW31" i="20"/>
  <c r="BW32" i="20"/>
  <c r="BW33" i="20"/>
  <c r="BW34" i="20"/>
  <c r="BW35" i="20"/>
  <c r="BW36" i="20"/>
  <c r="BW37" i="20"/>
  <c r="BW38" i="20"/>
  <c r="BW39" i="20"/>
  <c r="BW40" i="20"/>
  <c r="BW41" i="20"/>
  <c r="BW42" i="20"/>
  <c r="BW43" i="20"/>
  <c r="BW44" i="20"/>
  <c r="BW45" i="20"/>
  <c r="BW46" i="20"/>
  <c r="BW47" i="20"/>
  <c r="BW48" i="20"/>
  <c r="BW49" i="20"/>
  <c r="BW50" i="20"/>
  <c r="BW51" i="20"/>
  <c r="BW52" i="20"/>
  <c r="BW53" i="20"/>
  <c r="BW54" i="20"/>
  <c r="BW55" i="20"/>
  <c r="BW56" i="20"/>
  <c r="BW57" i="20"/>
  <c r="BW58" i="20"/>
  <c r="BW59" i="20"/>
  <c r="BW60" i="20"/>
  <c r="BW61" i="20"/>
  <c r="BV4" i="20"/>
  <c r="BV5" i="20"/>
  <c r="BV6" i="20"/>
  <c r="BV7" i="20"/>
  <c r="BV8" i="20"/>
  <c r="BV9" i="20"/>
  <c r="BV10" i="20"/>
  <c r="BV11" i="20"/>
  <c r="BV12" i="20"/>
  <c r="BV13" i="20"/>
  <c r="BV14" i="20"/>
  <c r="BV15" i="20"/>
  <c r="BV16" i="20"/>
  <c r="BV17" i="20"/>
  <c r="BV18" i="20"/>
  <c r="BV19" i="20"/>
  <c r="BV20" i="20"/>
  <c r="BV21" i="20"/>
  <c r="BV22" i="20"/>
  <c r="BV23" i="20"/>
  <c r="BV24" i="20"/>
  <c r="BV25" i="20"/>
  <c r="BV26" i="20"/>
  <c r="BV27" i="20"/>
  <c r="BV28" i="20"/>
  <c r="BV29" i="20"/>
  <c r="BV30" i="20"/>
  <c r="BV31" i="20"/>
  <c r="BV32" i="20"/>
  <c r="BV33" i="20"/>
  <c r="BV34" i="20"/>
  <c r="BV35" i="20"/>
  <c r="BV36" i="20"/>
  <c r="BV37" i="20"/>
  <c r="BV38" i="20"/>
  <c r="BV39" i="20"/>
  <c r="BV40" i="20"/>
  <c r="BV41" i="20"/>
  <c r="BV42" i="20"/>
  <c r="BV43" i="20"/>
  <c r="BV44" i="20"/>
  <c r="BV45" i="20"/>
  <c r="BV46" i="20"/>
  <c r="BV47" i="20"/>
  <c r="BV48" i="20"/>
  <c r="BV49" i="20"/>
  <c r="BV50" i="20"/>
  <c r="BV51" i="20"/>
  <c r="BV52" i="20"/>
  <c r="BV53" i="20"/>
  <c r="BV54" i="20"/>
  <c r="BV55" i="20"/>
  <c r="BV56" i="20"/>
  <c r="BV57" i="20"/>
  <c r="BV58" i="20"/>
  <c r="BV59" i="20"/>
  <c r="BV60" i="20"/>
  <c r="BV61" i="20"/>
  <c r="BK2" i="20"/>
  <c r="BL2" i="20"/>
  <c r="BM2" i="20"/>
  <c r="BN2" i="20"/>
  <c r="BO2" i="20"/>
  <c r="BP2" i="20"/>
  <c r="BQ2" i="20"/>
  <c r="BR2" i="20"/>
  <c r="BS2" i="20"/>
  <c r="BK3" i="20"/>
  <c r="BL3" i="20"/>
  <c r="BM3" i="20"/>
  <c r="BN3" i="20"/>
  <c r="BO3" i="20"/>
  <c r="BP3" i="20"/>
  <c r="BQ3" i="20"/>
  <c r="BR3" i="20"/>
  <c r="BS3" i="20"/>
  <c r="BK4" i="20"/>
  <c r="BL4" i="20"/>
  <c r="BM4" i="20"/>
  <c r="BN4" i="20"/>
  <c r="BO4" i="20"/>
  <c r="BP4" i="20"/>
  <c r="BQ4" i="20"/>
  <c r="BR4" i="20"/>
  <c r="BS4" i="20"/>
  <c r="BK5" i="20"/>
  <c r="BL5" i="20"/>
  <c r="BM5" i="20"/>
  <c r="BN5" i="20"/>
  <c r="BO5" i="20"/>
  <c r="BP5" i="20"/>
  <c r="BQ5" i="20"/>
  <c r="BR5" i="20"/>
  <c r="BS5" i="20"/>
  <c r="BK6" i="20"/>
  <c r="BL6" i="20"/>
  <c r="BM6" i="20"/>
  <c r="BN6" i="20"/>
  <c r="BO6" i="20"/>
  <c r="BP6" i="20"/>
  <c r="BQ6" i="20"/>
  <c r="BR6" i="20"/>
  <c r="BS6" i="20"/>
  <c r="BK7" i="20"/>
  <c r="BL7" i="20"/>
  <c r="BM7" i="20"/>
  <c r="BN7" i="20"/>
  <c r="BO7" i="20"/>
  <c r="BP7" i="20"/>
  <c r="BQ7" i="20"/>
  <c r="BR7" i="20"/>
  <c r="BS7" i="20"/>
  <c r="BK8" i="20"/>
  <c r="BL8" i="20"/>
  <c r="BM8" i="20"/>
  <c r="BN8" i="20"/>
  <c r="BO8" i="20"/>
  <c r="BP8" i="20"/>
  <c r="BQ8" i="20"/>
  <c r="BR8" i="20"/>
  <c r="BS8" i="20"/>
  <c r="BK9" i="20"/>
  <c r="BL9" i="20"/>
  <c r="BM9" i="20"/>
  <c r="BN9" i="20"/>
  <c r="BO9" i="20"/>
  <c r="BP9" i="20"/>
  <c r="BQ9" i="20"/>
  <c r="BR9" i="20"/>
  <c r="BS9" i="20"/>
  <c r="BK10" i="20"/>
  <c r="BL10" i="20"/>
  <c r="BM10" i="20"/>
  <c r="BN10" i="20"/>
  <c r="BO10" i="20"/>
  <c r="BP10" i="20"/>
  <c r="BQ10" i="20"/>
  <c r="BR10" i="20"/>
  <c r="BS10" i="20"/>
  <c r="BK11" i="20"/>
  <c r="BL11" i="20"/>
  <c r="BM11" i="20"/>
  <c r="BN11" i="20"/>
  <c r="BO11" i="20"/>
  <c r="BP11" i="20"/>
  <c r="BQ11" i="20"/>
  <c r="BR11" i="20"/>
  <c r="BS11" i="20"/>
  <c r="BK12" i="20"/>
  <c r="BL12" i="20"/>
  <c r="BM12" i="20"/>
  <c r="BN12" i="20"/>
  <c r="BO12" i="20"/>
  <c r="BP12" i="20"/>
  <c r="BQ12" i="20"/>
  <c r="BR12" i="20"/>
  <c r="BS12" i="20"/>
  <c r="BK13" i="20"/>
  <c r="BL13" i="20"/>
  <c r="BM13" i="20"/>
  <c r="BN13" i="20"/>
  <c r="BO13" i="20"/>
  <c r="BP13" i="20"/>
  <c r="BQ13" i="20"/>
  <c r="BR13" i="20"/>
  <c r="BS13" i="20"/>
  <c r="BK14" i="20"/>
  <c r="BL14" i="20"/>
  <c r="BM14" i="20"/>
  <c r="BN14" i="20"/>
  <c r="BO14" i="20"/>
  <c r="BP14" i="20"/>
  <c r="BQ14" i="20"/>
  <c r="BR14" i="20"/>
  <c r="BS14" i="20"/>
  <c r="BK15" i="20"/>
  <c r="BL15" i="20"/>
  <c r="BM15" i="20"/>
  <c r="BN15" i="20"/>
  <c r="BO15" i="20"/>
  <c r="BP15" i="20"/>
  <c r="BQ15" i="20"/>
  <c r="BR15" i="20"/>
  <c r="BS15" i="20"/>
  <c r="BK16" i="20"/>
  <c r="BL16" i="20"/>
  <c r="BM16" i="20"/>
  <c r="BN16" i="20"/>
  <c r="BO16" i="20"/>
  <c r="BP16" i="20"/>
  <c r="BQ16" i="20"/>
  <c r="BR16" i="20"/>
  <c r="BS16" i="20"/>
  <c r="BK17" i="20"/>
  <c r="BL17" i="20"/>
  <c r="BM17" i="20"/>
  <c r="BN17" i="20"/>
  <c r="BO17" i="20"/>
  <c r="BP17" i="20"/>
  <c r="BQ17" i="20"/>
  <c r="BR17" i="20"/>
  <c r="BS17" i="20"/>
  <c r="BK18" i="20"/>
  <c r="BL18" i="20"/>
  <c r="BM18" i="20"/>
  <c r="BN18" i="20"/>
  <c r="BO18" i="20"/>
  <c r="BP18" i="20"/>
  <c r="BQ18" i="20"/>
  <c r="BR18" i="20"/>
  <c r="BS18" i="20"/>
  <c r="BK19" i="20"/>
  <c r="BL19" i="20"/>
  <c r="BM19" i="20"/>
  <c r="BN19" i="20"/>
  <c r="BO19" i="20"/>
  <c r="BP19" i="20"/>
  <c r="BQ19" i="20"/>
  <c r="BR19" i="20"/>
  <c r="BS19" i="20"/>
  <c r="BK20" i="20"/>
  <c r="BL20" i="20"/>
  <c r="BM20" i="20"/>
  <c r="BN20" i="20"/>
  <c r="BO20" i="20"/>
  <c r="BP20" i="20"/>
  <c r="BQ20" i="20"/>
  <c r="BR20" i="20"/>
  <c r="BS20" i="20"/>
  <c r="BK21" i="20"/>
  <c r="BL21" i="20"/>
  <c r="BM21" i="20"/>
  <c r="BN21" i="20"/>
  <c r="BO21" i="20"/>
  <c r="BP21" i="20"/>
  <c r="BQ21" i="20"/>
  <c r="BR21" i="20"/>
  <c r="BS21" i="20"/>
  <c r="BK22" i="20"/>
  <c r="BL22" i="20"/>
  <c r="BM22" i="20"/>
  <c r="BN22" i="20"/>
  <c r="BO22" i="20"/>
  <c r="BP22" i="20"/>
  <c r="BQ22" i="20"/>
  <c r="BR22" i="20"/>
  <c r="BS22" i="20"/>
  <c r="BK23" i="20"/>
  <c r="BL23" i="20"/>
  <c r="BM23" i="20"/>
  <c r="BN23" i="20"/>
  <c r="BO23" i="20"/>
  <c r="BP23" i="20"/>
  <c r="BQ23" i="20"/>
  <c r="BR23" i="20"/>
  <c r="BS23" i="20"/>
  <c r="BK24" i="20"/>
  <c r="BL24" i="20"/>
  <c r="BM24" i="20"/>
  <c r="BN24" i="20"/>
  <c r="BO24" i="20"/>
  <c r="BP24" i="20"/>
  <c r="BQ24" i="20"/>
  <c r="BR24" i="20"/>
  <c r="BS24" i="20"/>
  <c r="BK25" i="20"/>
  <c r="BL25" i="20"/>
  <c r="BM25" i="20"/>
  <c r="BN25" i="20"/>
  <c r="BO25" i="20"/>
  <c r="BP25" i="20"/>
  <c r="BQ25" i="20"/>
  <c r="BR25" i="20"/>
  <c r="BS25" i="20"/>
  <c r="BK26" i="20"/>
  <c r="BL26" i="20"/>
  <c r="BM26" i="20"/>
  <c r="BN26" i="20"/>
  <c r="BO26" i="20"/>
  <c r="BP26" i="20"/>
  <c r="BQ26" i="20"/>
  <c r="BR26" i="20"/>
  <c r="BS26" i="20"/>
  <c r="BK27" i="20"/>
  <c r="BL27" i="20"/>
  <c r="BM27" i="20"/>
  <c r="BN27" i="20"/>
  <c r="BO27" i="20"/>
  <c r="BP27" i="20"/>
  <c r="BQ27" i="20"/>
  <c r="BR27" i="20"/>
  <c r="BS27" i="20"/>
  <c r="BK28" i="20"/>
  <c r="BL28" i="20"/>
  <c r="BM28" i="20"/>
  <c r="BN28" i="20"/>
  <c r="BO28" i="20"/>
  <c r="BP28" i="20"/>
  <c r="BQ28" i="20"/>
  <c r="BR28" i="20"/>
  <c r="BS28" i="20"/>
  <c r="BK29" i="20"/>
  <c r="BL29" i="20"/>
  <c r="BM29" i="20"/>
  <c r="BN29" i="20"/>
  <c r="BO29" i="20"/>
  <c r="BP29" i="20"/>
  <c r="BQ29" i="20"/>
  <c r="BR29" i="20"/>
  <c r="BS29" i="20"/>
  <c r="BK30" i="20"/>
  <c r="BL30" i="20"/>
  <c r="BM30" i="20"/>
  <c r="BN30" i="20"/>
  <c r="BO30" i="20"/>
  <c r="BP30" i="20"/>
  <c r="BQ30" i="20"/>
  <c r="BR30" i="20"/>
  <c r="BS30" i="20"/>
  <c r="BK31" i="20"/>
  <c r="BL31" i="20"/>
  <c r="BM31" i="20"/>
  <c r="BN31" i="20"/>
  <c r="BO31" i="20"/>
  <c r="BP31" i="20"/>
  <c r="BQ31" i="20"/>
  <c r="BR31" i="20"/>
  <c r="BS31" i="20"/>
  <c r="BK32" i="20"/>
  <c r="BL32" i="20"/>
  <c r="BM32" i="20"/>
  <c r="BN32" i="20"/>
  <c r="BO32" i="20"/>
  <c r="BP32" i="20"/>
  <c r="BQ32" i="20"/>
  <c r="BR32" i="20"/>
  <c r="BS32" i="20"/>
  <c r="BK33" i="20"/>
  <c r="BL33" i="20"/>
  <c r="BM33" i="20"/>
  <c r="BN33" i="20"/>
  <c r="BO33" i="20"/>
  <c r="BP33" i="20"/>
  <c r="BQ33" i="20"/>
  <c r="BR33" i="20"/>
  <c r="BS33" i="20"/>
  <c r="BK34" i="20"/>
  <c r="BL34" i="20"/>
  <c r="BM34" i="20"/>
  <c r="BN34" i="20"/>
  <c r="BO34" i="20"/>
  <c r="BP34" i="20"/>
  <c r="BQ34" i="20"/>
  <c r="BR34" i="20"/>
  <c r="BS34" i="20"/>
  <c r="BK35" i="20"/>
  <c r="BL35" i="20"/>
  <c r="BM35" i="20"/>
  <c r="BN35" i="20"/>
  <c r="BO35" i="20"/>
  <c r="BP35" i="20"/>
  <c r="BQ35" i="20"/>
  <c r="BR35" i="20"/>
  <c r="BS35" i="20"/>
  <c r="BK36" i="20"/>
  <c r="BL36" i="20"/>
  <c r="BM36" i="20"/>
  <c r="BN36" i="20"/>
  <c r="BO36" i="20"/>
  <c r="BP36" i="20"/>
  <c r="BQ36" i="20"/>
  <c r="BR36" i="20"/>
  <c r="BS36" i="20"/>
  <c r="BK37" i="20"/>
  <c r="BL37" i="20"/>
  <c r="BM37" i="20"/>
  <c r="BN37" i="20"/>
  <c r="BO37" i="20"/>
  <c r="BP37" i="20"/>
  <c r="BQ37" i="20"/>
  <c r="BR37" i="20"/>
  <c r="BS37" i="20"/>
  <c r="BK38" i="20"/>
  <c r="BL38" i="20"/>
  <c r="BM38" i="20"/>
  <c r="BN38" i="20"/>
  <c r="BO38" i="20"/>
  <c r="BP38" i="20"/>
  <c r="BQ38" i="20"/>
  <c r="BR38" i="20"/>
  <c r="BS38" i="20"/>
  <c r="BK39" i="20"/>
  <c r="BL39" i="20"/>
  <c r="BM39" i="20"/>
  <c r="BN39" i="20"/>
  <c r="BO39" i="20"/>
  <c r="BP39" i="20"/>
  <c r="BQ39" i="20"/>
  <c r="BR39" i="20"/>
  <c r="BS39" i="20"/>
  <c r="BK40" i="20"/>
  <c r="BL40" i="20"/>
  <c r="BM40" i="20"/>
  <c r="BN40" i="20"/>
  <c r="BO40" i="20"/>
  <c r="BP40" i="20"/>
  <c r="BQ40" i="20"/>
  <c r="BR40" i="20"/>
  <c r="BS40" i="20"/>
  <c r="BK41" i="20"/>
  <c r="BL41" i="20"/>
  <c r="BM41" i="20"/>
  <c r="BN41" i="20"/>
  <c r="BO41" i="20"/>
  <c r="BP41" i="20"/>
  <c r="BQ41" i="20"/>
  <c r="BR41" i="20"/>
  <c r="BS41" i="20"/>
  <c r="BK42" i="20"/>
  <c r="BL42" i="20"/>
  <c r="BM42" i="20"/>
  <c r="BN42" i="20"/>
  <c r="BO42" i="20"/>
  <c r="BP42" i="20"/>
  <c r="BQ42" i="20"/>
  <c r="BR42" i="20"/>
  <c r="BS42" i="20"/>
  <c r="BK43" i="20"/>
  <c r="BL43" i="20"/>
  <c r="BM43" i="20"/>
  <c r="BN43" i="20"/>
  <c r="BO43" i="20"/>
  <c r="BP43" i="20"/>
  <c r="BQ43" i="20"/>
  <c r="BR43" i="20"/>
  <c r="BS43" i="20"/>
  <c r="BK44" i="20"/>
  <c r="BL44" i="20"/>
  <c r="BM44" i="20"/>
  <c r="BN44" i="20"/>
  <c r="BO44" i="20"/>
  <c r="BP44" i="20"/>
  <c r="BQ44" i="20"/>
  <c r="BR44" i="20"/>
  <c r="BS44" i="20"/>
  <c r="BK45" i="20"/>
  <c r="BL45" i="20"/>
  <c r="BM45" i="20"/>
  <c r="BN45" i="20"/>
  <c r="BO45" i="20"/>
  <c r="BP45" i="20"/>
  <c r="BQ45" i="20"/>
  <c r="BR45" i="20"/>
  <c r="BS45" i="20"/>
  <c r="BK46" i="20"/>
  <c r="BL46" i="20"/>
  <c r="BM46" i="20"/>
  <c r="BN46" i="20"/>
  <c r="BO46" i="20"/>
  <c r="BP46" i="20"/>
  <c r="BQ46" i="20"/>
  <c r="BR46" i="20"/>
  <c r="BS46" i="20"/>
  <c r="BK47" i="20"/>
  <c r="BL47" i="20"/>
  <c r="BM47" i="20"/>
  <c r="BN47" i="20"/>
  <c r="BO47" i="20"/>
  <c r="BP47" i="20"/>
  <c r="BQ47" i="20"/>
  <c r="BR47" i="20"/>
  <c r="BS47" i="20"/>
  <c r="BK48" i="20"/>
  <c r="BL48" i="20"/>
  <c r="BM48" i="20"/>
  <c r="BN48" i="20"/>
  <c r="BO48" i="20"/>
  <c r="BP48" i="20"/>
  <c r="BQ48" i="20"/>
  <c r="BR48" i="20"/>
  <c r="BS48" i="20"/>
  <c r="BK49" i="20"/>
  <c r="BL49" i="20"/>
  <c r="BM49" i="20"/>
  <c r="BN49" i="20"/>
  <c r="BO49" i="20"/>
  <c r="BP49" i="20"/>
  <c r="BQ49" i="20"/>
  <c r="BR49" i="20"/>
  <c r="BS49" i="20"/>
  <c r="BK50" i="20"/>
  <c r="BL50" i="20"/>
  <c r="BM50" i="20"/>
  <c r="BN50" i="20"/>
  <c r="BO50" i="20"/>
  <c r="BP50" i="20"/>
  <c r="BQ50" i="20"/>
  <c r="BR50" i="20"/>
  <c r="BS50" i="20"/>
  <c r="BK51" i="20"/>
  <c r="BL51" i="20"/>
  <c r="BM51" i="20"/>
  <c r="BN51" i="20"/>
  <c r="BO51" i="20"/>
  <c r="BP51" i="20"/>
  <c r="BQ51" i="20"/>
  <c r="BR51" i="20"/>
  <c r="BS51" i="20"/>
  <c r="BK52" i="20"/>
  <c r="BL52" i="20"/>
  <c r="BM52" i="20"/>
  <c r="BN52" i="20"/>
  <c r="BO52" i="20"/>
  <c r="BP52" i="20"/>
  <c r="BQ52" i="20"/>
  <c r="BR52" i="20"/>
  <c r="BS52" i="20"/>
  <c r="BK53" i="20"/>
  <c r="BL53" i="20"/>
  <c r="BM53" i="20"/>
  <c r="BN53" i="20"/>
  <c r="BO53" i="20"/>
  <c r="BP53" i="20"/>
  <c r="BQ53" i="20"/>
  <c r="BR53" i="20"/>
  <c r="BS53" i="20"/>
  <c r="BK54" i="20"/>
  <c r="BL54" i="20"/>
  <c r="BM54" i="20"/>
  <c r="BN54" i="20"/>
  <c r="BO54" i="20"/>
  <c r="BP54" i="20"/>
  <c r="BQ54" i="20"/>
  <c r="BR54" i="20"/>
  <c r="BS54" i="20"/>
  <c r="BK55" i="20"/>
  <c r="BL55" i="20"/>
  <c r="BM55" i="20"/>
  <c r="BN55" i="20"/>
  <c r="BO55" i="20"/>
  <c r="BP55" i="20"/>
  <c r="BQ55" i="20"/>
  <c r="BR55" i="20"/>
  <c r="BS55" i="20"/>
  <c r="BK56" i="20"/>
  <c r="BL56" i="20"/>
  <c r="BM56" i="20"/>
  <c r="BN56" i="20"/>
  <c r="BO56" i="20"/>
  <c r="BP56" i="20"/>
  <c r="BQ56" i="20"/>
  <c r="BR56" i="20"/>
  <c r="BS56" i="20"/>
  <c r="BK57" i="20"/>
  <c r="BL57" i="20"/>
  <c r="BM57" i="20"/>
  <c r="BN57" i="20"/>
  <c r="BO57" i="20"/>
  <c r="BP57" i="20"/>
  <c r="BQ57" i="20"/>
  <c r="BR57" i="20"/>
  <c r="BS57" i="20"/>
  <c r="BK58" i="20"/>
  <c r="BL58" i="20"/>
  <c r="BM58" i="20"/>
  <c r="BN58" i="20"/>
  <c r="BO58" i="20"/>
  <c r="BP58" i="20"/>
  <c r="BQ58" i="20"/>
  <c r="BR58" i="20"/>
  <c r="BS58" i="20"/>
  <c r="BK59" i="20"/>
  <c r="BL59" i="20"/>
  <c r="BM59" i="20"/>
  <c r="BN59" i="20"/>
  <c r="BO59" i="20"/>
  <c r="BP59" i="20"/>
  <c r="BQ59" i="20"/>
  <c r="BR59" i="20"/>
  <c r="BS59" i="20"/>
  <c r="BK60" i="20"/>
  <c r="BL60" i="20"/>
  <c r="BM60" i="20"/>
  <c r="BN60" i="20"/>
  <c r="BO60" i="20"/>
  <c r="BP60" i="20"/>
  <c r="BQ60" i="20"/>
  <c r="BR60" i="20"/>
  <c r="BS60" i="20"/>
  <c r="BK61" i="20"/>
  <c r="BL61" i="20"/>
  <c r="BM61" i="20"/>
  <c r="BN61" i="20"/>
  <c r="BO61" i="20"/>
  <c r="BP61" i="20"/>
  <c r="BQ61" i="20"/>
  <c r="BR61" i="20"/>
  <c r="BS61" i="20"/>
  <c r="BJ3" i="20"/>
  <c r="BJ4" i="20"/>
  <c r="BJ5" i="20"/>
  <c r="BJ6" i="20"/>
  <c r="BJ7" i="20"/>
  <c r="BJ8" i="20"/>
  <c r="BJ9" i="20"/>
  <c r="BJ10" i="20"/>
  <c r="BJ11" i="20"/>
  <c r="BJ12" i="20"/>
  <c r="BJ13" i="20"/>
  <c r="BJ14" i="20"/>
  <c r="BJ15" i="20"/>
  <c r="BJ16" i="20"/>
  <c r="BJ17" i="20"/>
  <c r="BJ18" i="20"/>
  <c r="BJ19" i="20"/>
  <c r="BJ20" i="20"/>
  <c r="BJ21" i="20"/>
  <c r="BJ22" i="20"/>
  <c r="BJ23" i="20"/>
  <c r="BJ24" i="20"/>
  <c r="BJ25" i="20"/>
  <c r="BJ26" i="20"/>
  <c r="BJ27" i="20"/>
  <c r="BJ28" i="20"/>
  <c r="BJ29" i="20"/>
  <c r="BJ30" i="20"/>
  <c r="BJ31" i="20"/>
  <c r="BJ32" i="20"/>
  <c r="BJ33" i="20"/>
  <c r="BJ34" i="20"/>
  <c r="BJ35" i="20"/>
  <c r="BJ36" i="20"/>
  <c r="BJ37" i="20"/>
  <c r="BJ38" i="20"/>
  <c r="BJ39" i="20"/>
  <c r="BJ40" i="20"/>
  <c r="BJ41" i="20"/>
  <c r="BJ42" i="20"/>
  <c r="BJ43" i="20"/>
  <c r="BJ44" i="20"/>
  <c r="BJ45" i="20"/>
  <c r="BJ46" i="20"/>
  <c r="BJ47" i="20"/>
  <c r="BJ48" i="20"/>
  <c r="BJ49" i="20"/>
  <c r="BJ50" i="20"/>
  <c r="BJ51" i="20"/>
  <c r="BJ52" i="20"/>
  <c r="BJ53" i="20"/>
  <c r="BJ54" i="20"/>
  <c r="BJ55" i="20"/>
  <c r="BJ56" i="20"/>
  <c r="BJ57" i="20"/>
  <c r="BJ58" i="20"/>
  <c r="BJ59" i="20"/>
  <c r="BJ60" i="20"/>
  <c r="BJ61" i="20"/>
  <c r="BJ2" i="20"/>
  <c r="BA2" i="20"/>
  <c r="BB2" i="20"/>
  <c r="BC2" i="20"/>
  <c r="BD2" i="20"/>
  <c r="BE2" i="20"/>
  <c r="BF2" i="20"/>
  <c r="BG2" i="20"/>
  <c r="BH2" i="20"/>
  <c r="BI2" i="20"/>
  <c r="BA3" i="20"/>
  <c r="BB3" i="20"/>
  <c r="BC3" i="20"/>
  <c r="BD3" i="20"/>
  <c r="BE3" i="20"/>
  <c r="BF3" i="20"/>
  <c r="BG3" i="20"/>
  <c r="BH3" i="20"/>
  <c r="BI3" i="20"/>
  <c r="BA4" i="20"/>
  <c r="BB4" i="20"/>
  <c r="BC4" i="20"/>
  <c r="BD4" i="20"/>
  <c r="BE4" i="20"/>
  <c r="BF4" i="20"/>
  <c r="BG4" i="20"/>
  <c r="BH4" i="20"/>
  <c r="BI4" i="20"/>
  <c r="BA5" i="20"/>
  <c r="BB5" i="20"/>
  <c r="BC5" i="20"/>
  <c r="BD5" i="20"/>
  <c r="BE5" i="20"/>
  <c r="BF5" i="20"/>
  <c r="BG5" i="20"/>
  <c r="BH5" i="20"/>
  <c r="BI5" i="20"/>
  <c r="BA6" i="20"/>
  <c r="BB6" i="20"/>
  <c r="BC6" i="20"/>
  <c r="BD6" i="20"/>
  <c r="BE6" i="20"/>
  <c r="BF6" i="20"/>
  <c r="BG6" i="20"/>
  <c r="BH6" i="20"/>
  <c r="BI6" i="20"/>
  <c r="BA7" i="20"/>
  <c r="BB7" i="20"/>
  <c r="BC7" i="20"/>
  <c r="BD7" i="20"/>
  <c r="BE7" i="20"/>
  <c r="BF7" i="20"/>
  <c r="BG7" i="20"/>
  <c r="BH7" i="20"/>
  <c r="BI7" i="20"/>
  <c r="BA8" i="20"/>
  <c r="BB8" i="20"/>
  <c r="BC8" i="20"/>
  <c r="BD8" i="20"/>
  <c r="BE8" i="20"/>
  <c r="BF8" i="20"/>
  <c r="BG8" i="20"/>
  <c r="BH8" i="20"/>
  <c r="BI8" i="20"/>
  <c r="BA9" i="20"/>
  <c r="BB9" i="20"/>
  <c r="BC9" i="20"/>
  <c r="BD9" i="20"/>
  <c r="BE9" i="20"/>
  <c r="BF9" i="20"/>
  <c r="BG9" i="20"/>
  <c r="BH9" i="20"/>
  <c r="BI9" i="20"/>
  <c r="BA10" i="20"/>
  <c r="BB10" i="20"/>
  <c r="BC10" i="20"/>
  <c r="BD10" i="20"/>
  <c r="BE10" i="20"/>
  <c r="BF10" i="20"/>
  <c r="BG10" i="20"/>
  <c r="BH10" i="20"/>
  <c r="BI10" i="20"/>
  <c r="BA11" i="20"/>
  <c r="BB11" i="20"/>
  <c r="BC11" i="20"/>
  <c r="BD11" i="20"/>
  <c r="BE11" i="20"/>
  <c r="BF11" i="20"/>
  <c r="BG11" i="20"/>
  <c r="BH11" i="20"/>
  <c r="BI11" i="20"/>
  <c r="BA12" i="20"/>
  <c r="BB12" i="20"/>
  <c r="BC12" i="20"/>
  <c r="BD12" i="20"/>
  <c r="BE12" i="20"/>
  <c r="BF12" i="20"/>
  <c r="BG12" i="20"/>
  <c r="BH12" i="20"/>
  <c r="BI12" i="20"/>
  <c r="BA13" i="20"/>
  <c r="BB13" i="20"/>
  <c r="BC13" i="20"/>
  <c r="BD13" i="20"/>
  <c r="BE13" i="20"/>
  <c r="BF13" i="20"/>
  <c r="BG13" i="20"/>
  <c r="BH13" i="20"/>
  <c r="BI13" i="20"/>
  <c r="BA14" i="20"/>
  <c r="BB14" i="20"/>
  <c r="BC14" i="20"/>
  <c r="BD14" i="20"/>
  <c r="BE14" i="20"/>
  <c r="BF14" i="20"/>
  <c r="BG14" i="20"/>
  <c r="BH14" i="20"/>
  <c r="BI14" i="20"/>
  <c r="BA15" i="20"/>
  <c r="BB15" i="20"/>
  <c r="BC15" i="20"/>
  <c r="BD15" i="20"/>
  <c r="BE15" i="20"/>
  <c r="BF15" i="20"/>
  <c r="BG15" i="20"/>
  <c r="BH15" i="20"/>
  <c r="BI15" i="20"/>
  <c r="BA16" i="20"/>
  <c r="BB16" i="20"/>
  <c r="BC16" i="20"/>
  <c r="BD16" i="20"/>
  <c r="BE16" i="20"/>
  <c r="BF16" i="20"/>
  <c r="BG16" i="20"/>
  <c r="BH16" i="20"/>
  <c r="BI16" i="20"/>
  <c r="BA17" i="20"/>
  <c r="BB17" i="20"/>
  <c r="BC17" i="20"/>
  <c r="BD17" i="20"/>
  <c r="BE17" i="20"/>
  <c r="BF17" i="20"/>
  <c r="BG17" i="20"/>
  <c r="BH17" i="20"/>
  <c r="BI17" i="20"/>
  <c r="BA18" i="20"/>
  <c r="BB18" i="20"/>
  <c r="BC18" i="20"/>
  <c r="BD18" i="20"/>
  <c r="BE18" i="20"/>
  <c r="BF18" i="20"/>
  <c r="BG18" i="20"/>
  <c r="BH18" i="20"/>
  <c r="BI18" i="20"/>
  <c r="BA19" i="20"/>
  <c r="BB19" i="20"/>
  <c r="BC19" i="20"/>
  <c r="BD19" i="20"/>
  <c r="BE19" i="20"/>
  <c r="BF19" i="20"/>
  <c r="BG19" i="20"/>
  <c r="BH19" i="20"/>
  <c r="BI19" i="20"/>
  <c r="BA20" i="20"/>
  <c r="BB20" i="20"/>
  <c r="BC20" i="20"/>
  <c r="BD20" i="20"/>
  <c r="BE20" i="20"/>
  <c r="BF20" i="20"/>
  <c r="BG20" i="20"/>
  <c r="BH20" i="20"/>
  <c r="BI20" i="20"/>
  <c r="BA21" i="20"/>
  <c r="BB21" i="20"/>
  <c r="BC21" i="20"/>
  <c r="BD21" i="20"/>
  <c r="BE21" i="20"/>
  <c r="BF21" i="20"/>
  <c r="BG21" i="20"/>
  <c r="BH21" i="20"/>
  <c r="BI21" i="20"/>
  <c r="BA22" i="20"/>
  <c r="BB22" i="20"/>
  <c r="BC22" i="20"/>
  <c r="BD22" i="20"/>
  <c r="BE22" i="20"/>
  <c r="BF22" i="20"/>
  <c r="BG22" i="20"/>
  <c r="BH22" i="20"/>
  <c r="BI22" i="20"/>
  <c r="BA23" i="20"/>
  <c r="BB23" i="20"/>
  <c r="BC23" i="20"/>
  <c r="BD23" i="20"/>
  <c r="BE23" i="20"/>
  <c r="BF23" i="20"/>
  <c r="BG23" i="20"/>
  <c r="BH23" i="20"/>
  <c r="BI23" i="20"/>
  <c r="BA24" i="20"/>
  <c r="BB24" i="20"/>
  <c r="BC24" i="20"/>
  <c r="BD24" i="20"/>
  <c r="BE24" i="20"/>
  <c r="BF24" i="20"/>
  <c r="BG24" i="20"/>
  <c r="BH24" i="20"/>
  <c r="BI24" i="20"/>
  <c r="BA25" i="20"/>
  <c r="BB25" i="20"/>
  <c r="BC25" i="20"/>
  <c r="BD25" i="20"/>
  <c r="BE25" i="20"/>
  <c r="BF25" i="20"/>
  <c r="BG25" i="20"/>
  <c r="BH25" i="20"/>
  <c r="BI25" i="20"/>
  <c r="BA26" i="20"/>
  <c r="BB26" i="20"/>
  <c r="BC26" i="20"/>
  <c r="BD26" i="20"/>
  <c r="BE26" i="20"/>
  <c r="BF26" i="20"/>
  <c r="BG26" i="20"/>
  <c r="BH26" i="20"/>
  <c r="BI26" i="20"/>
  <c r="BA27" i="20"/>
  <c r="BB27" i="20"/>
  <c r="BC27" i="20"/>
  <c r="BD27" i="20"/>
  <c r="BE27" i="20"/>
  <c r="BF27" i="20"/>
  <c r="BG27" i="20"/>
  <c r="BH27" i="20"/>
  <c r="BI27" i="20"/>
  <c r="BA28" i="20"/>
  <c r="BB28" i="20"/>
  <c r="BC28" i="20"/>
  <c r="BD28" i="20"/>
  <c r="BE28" i="20"/>
  <c r="BF28" i="20"/>
  <c r="BG28" i="20"/>
  <c r="BH28" i="20"/>
  <c r="BI28" i="20"/>
  <c r="BA29" i="20"/>
  <c r="BB29" i="20"/>
  <c r="BC29" i="20"/>
  <c r="BD29" i="20"/>
  <c r="BE29" i="20"/>
  <c r="BF29" i="20"/>
  <c r="BG29" i="20"/>
  <c r="BH29" i="20"/>
  <c r="BI29" i="20"/>
  <c r="BA30" i="20"/>
  <c r="BB30" i="20"/>
  <c r="BC30" i="20"/>
  <c r="BD30" i="20"/>
  <c r="BE30" i="20"/>
  <c r="BF30" i="20"/>
  <c r="BG30" i="20"/>
  <c r="BH30" i="20"/>
  <c r="BI30" i="20"/>
  <c r="BA31" i="20"/>
  <c r="BB31" i="20"/>
  <c r="BC31" i="20"/>
  <c r="BD31" i="20"/>
  <c r="BE31" i="20"/>
  <c r="BF31" i="20"/>
  <c r="BG31" i="20"/>
  <c r="BH31" i="20"/>
  <c r="BI31" i="20"/>
  <c r="BA32" i="20"/>
  <c r="BB32" i="20"/>
  <c r="BC32" i="20"/>
  <c r="BD32" i="20"/>
  <c r="BE32" i="20"/>
  <c r="BF32" i="20"/>
  <c r="BG32" i="20"/>
  <c r="BH32" i="20"/>
  <c r="BI32" i="20"/>
  <c r="BA33" i="20"/>
  <c r="BB33" i="20"/>
  <c r="BC33" i="20"/>
  <c r="BD33" i="20"/>
  <c r="BE33" i="20"/>
  <c r="BF33" i="20"/>
  <c r="BG33" i="20"/>
  <c r="BH33" i="20"/>
  <c r="BI33" i="20"/>
  <c r="BA34" i="20"/>
  <c r="BB34" i="20"/>
  <c r="BC34" i="20"/>
  <c r="BD34" i="20"/>
  <c r="BE34" i="20"/>
  <c r="BF34" i="20"/>
  <c r="BG34" i="20"/>
  <c r="BH34" i="20"/>
  <c r="BI34" i="20"/>
  <c r="BA35" i="20"/>
  <c r="BB35" i="20"/>
  <c r="BC35" i="20"/>
  <c r="BD35" i="20"/>
  <c r="BE35" i="20"/>
  <c r="BF35" i="20"/>
  <c r="BG35" i="20"/>
  <c r="BH35" i="20"/>
  <c r="BI35" i="20"/>
  <c r="BA36" i="20"/>
  <c r="BB36" i="20"/>
  <c r="BC36" i="20"/>
  <c r="BD36" i="20"/>
  <c r="BE36" i="20"/>
  <c r="BF36" i="20"/>
  <c r="BG36" i="20"/>
  <c r="BH36" i="20"/>
  <c r="BI36" i="20"/>
  <c r="BA37" i="20"/>
  <c r="BB37" i="20"/>
  <c r="BC37" i="20"/>
  <c r="BD37" i="20"/>
  <c r="BE37" i="20"/>
  <c r="BF37" i="20"/>
  <c r="BG37" i="20"/>
  <c r="BH37" i="20"/>
  <c r="BI37" i="20"/>
  <c r="BA38" i="20"/>
  <c r="BB38" i="20"/>
  <c r="BC38" i="20"/>
  <c r="BD38" i="20"/>
  <c r="BE38" i="20"/>
  <c r="BF38" i="20"/>
  <c r="BG38" i="20"/>
  <c r="BH38" i="20"/>
  <c r="BI38" i="20"/>
  <c r="BA39" i="20"/>
  <c r="BB39" i="20"/>
  <c r="BC39" i="20"/>
  <c r="BD39" i="20"/>
  <c r="BE39" i="20"/>
  <c r="BF39" i="20"/>
  <c r="BG39" i="20"/>
  <c r="BH39" i="20"/>
  <c r="BI39" i="20"/>
  <c r="BA40" i="20"/>
  <c r="BB40" i="20"/>
  <c r="BC40" i="20"/>
  <c r="BD40" i="20"/>
  <c r="BE40" i="20"/>
  <c r="BF40" i="20"/>
  <c r="BG40" i="20"/>
  <c r="BH40" i="20"/>
  <c r="BI40" i="20"/>
  <c r="BA41" i="20"/>
  <c r="BB41" i="20"/>
  <c r="BC41" i="20"/>
  <c r="BD41" i="20"/>
  <c r="BE41" i="20"/>
  <c r="BF41" i="20"/>
  <c r="BG41" i="20"/>
  <c r="BH41" i="20"/>
  <c r="BI41" i="20"/>
  <c r="BA42" i="20"/>
  <c r="BB42" i="20"/>
  <c r="BC42" i="20"/>
  <c r="BD42" i="20"/>
  <c r="BE42" i="20"/>
  <c r="BF42" i="20"/>
  <c r="BG42" i="20"/>
  <c r="BH42" i="20"/>
  <c r="BI42" i="20"/>
  <c r="BA43" i="20"/>
  <c r="BB43" i="20"/>
  <c r="BC43" i="20"/>
  <c r="BD43" i="20"/>
  <c r="BE43" i="20"/>
  <c r="BF43" i="20"/>
  <c r="BG43" i="20"/>
  <c r="BH43" i="20"/>
  <c r="BI43" i="20"/>
  <c r="BA44" i="20"/>
  <c r="BB44" i="20"/>
  <c r="BC44" i="20"/>
  <c r="BD44" i="20"/>
  <c r="BE44" i="20"/>
  <c r="BF44" i="20"/>
  <c r="BG44" i="20"/>
  <c r="BH44" i="20"/>
  <c r="BI44" i="20"/>
  <c r="BA45" i="20"/>
  <c r="BB45" i="20"/>
  <c r="BC45" i="20"/>
  <c r="BD45" i="20"/>
  <c r="BE45" i="20"/>
  <c r="BF45" i="20"/>
  <c r="BG45" i="20"/>
  <c r="BH45" i="20"/>
  <c r="BI45" i="20"/>
  <c r="BA46" i="20"/>
  <c r="BB46" i="20"/>
  <c r="BC46" i="20"/>
  <c r="BD46" i="20"/>
  <c r="BE46" i="20"/>
  <c r="BF46" i="20"/>
  <c r="BG46" i="20"/>
  <c r="BH46" i="20"/>
  <c r="BI46" i="20"/>
  <c r="BA47" i="20"/>
  <c r="BB47" i="20"/>
  <c r="BC47" i="20"/>
  <c r="BD47" i="20"/>
  <c r="BE47" i="20"/>
  <c r="BF47" i="20"/>
  <c r="BG47" i="20"/>
  <c r="BH47" i="20"/>
  <c r="BI47" i="20"/>
  <c r="BA48" i="20"/>
  <c r="BB48" i="20"/>
  <c r="BC48" i="20"/>
  <c r="BD48" i="20"/>
  <c r="BE48" i="20"/>
  <c r="BF48" i="20"/>
  <c r="BG48" i="20"/>
  <c r="BH48" i="20"/>
  <c r="BI48" i="20"/>
  <c r="BA49" i="20"/>
  <c r="BB49" i="20"/>
  <c r="BC49" i="20"/>
  <c r="BD49" i="20"/>
  <c r="BE49" i="20"/>
  <c r="BF49" i="20"/>
  <c r="BG49" i="20"/>
  <c r="BH49" i="20"/>
  <c r="BI49" i="20"/>
  <c r="BA50" i="20"/>
  <c r="BB50" i="20"/>
  <c r="BC50" i="20"/>
  <c r="BD50" i="20"/>
  <c r="BE50" i="20"/>
  <c r="BF50" i="20"/>
  <c r="BG50" i="20"/>
  <c r="BH50" i="20"/>
  <c r="BI50" i="20"/>
  <c r="BA51" i="20"/>
  <c r="BB51" i="20"/>
  <c r="BC51" i="20"/>
  <c r="BD51" i="20"/>
  <c r="BE51" i="20"/>
  <c r="BF51" i="20"/>
  <c r="BG51" i="20"/>
  <c r="BH51" i="20"/>
  <c r="BI51" i="20"/>
  <c r="BA52" i="20"/>
  <c r="BB52" i="20"/>
  <c r="BC52" i="20"/>
  <c r="BD52" i="20"/>
  <c r="BE52" i="20"/>
  <c r="BF52" i="20"/>
  <c r="BG52" i="20"/>
  <c r="BH52" i="20"/>
  <c r="BI52" i="20"/>
  <c r="BA53" i="20"/>
  <c r="BB53" i="20"/>
  <c r="BC53" i="20"/>
  <c r="BD53" i="20"/>
  <c r="BE53" i="20"/>
  <c r="BF53" i="20"/>
  <c r="BG53" i="20"/>
  <c r="BH53" i="20"/>
  <c r="BI53" i="20"/>
  <c r="BA54" i="20"/>
  <c r="BB54" i="20"/>
  <c r="BC54" i="20"/>
  <c r="BD54" i="20"/>
  <c r="BE54" i="20"/>
  <c r="BF54" i="20"/>
  <c r="BG54" i="20"/>
  <c r="BH54" i="20"/>
  <c r="BI54" i="20"/>
  <c r="BA55" i="20"/>
  <c r="BB55" i="20"/>
  <c r="BC55" i="20"/>
  <c r="BD55" i="20"/>
  <c r="BE55" i="20"/>
  <c r="BF55" i="20"/>
  <c r="BG55" i="20"/>
  <c r="BH55" i="20"/>
  <c r="BI55" i="20"/>
  <c r="BA56" i="20"/>
  <c r="BB56" i="20"/>
  <c r="BC56" i="20"/>
  <c r="BD56" i="20"/>
  <c r="BE56" i="20"/>
  <c r="BF56" i="20"/>
  <c r="BG56" i="20"/>
  <c r="BH56" i="20"/>
  <c r="BI56" i="20"/>
  <c r="BA57" i="20"/>
  <c r="BB57" i="20"/>
  <c r="BC57" i="20"/>
  <c r="BD57" i="20"/>
  <c r="BE57" i="20"/>
  <c r="BF57" i="20"/>
  <c r="BG57" i="20"/>
  <c r="BH57" i="20"/>
  <c r="BI57" i="20"/>
  <c r="BA58" i="20"/>
  <c r="BB58" i="20"/>
  <c r="BC58" i="20"/>
  <c r="BD58" i="20"/>
  <c r="BE58" i="20"/>
  <c r="BF58" i="20"/>
  <c r="BG58" i="20"/>
  <c r="BH58" i="20"/>
  <c r="BI58" i="20"/>
  <c r="BA59" i="20"/>
  <c r="BB59" i="20"/>
  <c r="BC59" i="20"/>
  <c r="BD59" i="20"/>
  <c r="BE59" i="20"/>
  <c r="BF59" i="20"/>
  <c r="BG59" i="20"/>
  <c r="BH59" i="20"/>
  <c r="BI59" i="20"/>
  <c r="BA60" i="20"/>
  <c r="BB60" i="20"/>
  <c r="BC60" i="20"/>
  <c r="BD60" i="20"/>
  <c r="BE60" i="20"/>
  <c r="BF60" i="20"/>
  <c r="BG60" i="20"/>
  <c r="BH60" i="20"/>
  <c r="BI60" i="20"/>
  <c r="BA61" i="20"/>
  <c r="BB61" i="20"/>
  <c r="BC61" i="20"/>
  <c r="BD61" i="20"/>
  <c r="BE61" i="20"/>
  <c r="BF61" i="20"/>
  <c r="BG61" i="20"/>
  <c r="BH61" i="20"/>
  <c r="BI61" i="20"/>
  <c r="AZ3" i="20"/>
  <c r="AZ4" i="20"/>
  <c r="AZ5" i="20"/>
  <c r="AZ6" i="20"/>
  <c r="AZ7" i="20"/>
  <c r="AZ8" i="20"/>
  <c r="AZ9" i="20"/>
  <c r="AZ10" i="20"/>
  <c r="AZ11" i="20"/>
  <c r="AZ12" i="20"/>
  <c r="AZ13" i="20"/>
  <c r="AZ14" i="20"/>
  <c r="AZ15" i="20"/>
  <c r="AZ16" i="20"/>
  <c r="AZ17" i="20"/>
  <c r="AZ18" i="20"/>
  <c r="AZ19" i="20"/>
  <c r="AZ20" i="20"/>
  <c r="AZ21" i="20"/>
  <c r="AZ22" i="20"/>
  <c r="AZ23" i="20"/>
  <c r="AZ24" i="20"/>
  <c r="AZ25" i="20"/>
  <c r="AZ26" i="20"/>
  <c r="AZ27" i="20"/>
  <c r="AZ28" i="20"/>
  <c r="AZ29" i="20"/>
  <c r="AZ30" i="20"/>
  <c r="AZ31" i="20"/>
  <c r="AZ32" i="20"/>
  <c r="AZ33" i="20"/>
  <c r="AZ34" i="20"/>
  <c r="AZ35" i="20"/>
  <c r="AZ36" i="20"/>
  <c r="AZ37" i="20"/>
  <c r="AZ38" i="20"/>
  <c r="AZ39" i="20"/>
  <c r="AZ40" i="20"/>
  <c r="AZ41" i="20"/>
  <c r="AZ42" i="20"/>
  <c r="AZ43" i="20"/>
  <c r="AZ44" i="20"/>
  <c r="AZ45" i="20"/>
  <c r="AZ46" i="20"/>
  <c r="AZ47" i="20"/>
  <c r="AZ48" i="20"/>
  <c r="AZ49" i="20"/>
  <c r="AZ50" i="20"/>
  <c r="AZ51" i="20"/>
  <c r="AZ52" i="20"/>
  <c r="AZ53" i="20"/>
  <c r="AZ54" i="20"/>
  <c r="AZ55" i="20"/>
  <c r="AZ56" i="20"/>
  <c r="AZ57" i="20"/>
  <c r="AZ58" i="20"/>
  <c r="AZ59" i="20"/>
  <c r="AZ60" i="20"/>
  <c r="AZ61" i="20"/>
  <c r="AZ2" i="20"/>
  <c r="AQ2" i="20"/>
  <c r="AR2" i="20"/>
  <c r="AS2" i="20"/>
  <c r="AT2" i="20"/>
  <c r="AU2" i="20"/>
  <c r="AV2" i="20"/>
  <c r="AW2" i="20"/>
  <c r="AX2" i="20"/>
  <c r="AY2" i="20"/>
  <c r="AQ3" i="20"/>
  <c r="AR3" i="20"/>
  <c r="AS3" i="20"/>
  <c r="AT3" i="20"/>
  <c r="AU3" i="20"/>
  <c r="AV3" i="20"/>
  <c r="AW3" i="20"/>
  <c r="AX3" i="20"/>
  <c r="AY3" i="20"/>
  <c r="AQ4" i="20"/>
  <c r="AR4" i="20"/>
  <c r="AS4" i="20"/>
  <c r="AT4" i="20"/>
  <c r="AU4" i="20"/>
  <c r="AV4" i="20"/>
  <c r="AW4" i="20"/>
  <c r="AX4" i="20"/>
  <c r="AY4" i="20"/>
  <c r="AQ5" i="20"/>
  <c r="AR5" i="20"/>
  <c r="AS5" i="20"/>
  <c r="AT5" i="20"/>
  <c r="AU5" i="20"/>
  <c r="AV5" i="20"/>
  <c r="AW5" i="20"/>
  <c r="AX5" i="20"/>
  <c r="AY5" i="20"/>
  <c r="AQ6" i="20"/>
  <c r="AR6" i="20"/>
  <c r="AS6" i="20"/>
  <c r="AT6" i="20"/>
  <c r="AU6" i="20"/>
  <c r="AV6" i="20"/>
  <c r="AW6" i="20"/>
  <c r="AX6" i="20"/>
  <c r="AY6" i="20"/>
  <c r="AQ7" i="20"/>
  <c r="AR7" i="20"/>
  <c r="AS7" i="20"/>
  <c r="AT7" i="20"/>
  <c r="AU7" i="20"/>
  <c r="AV7" i="20"/>
  <c r="AW7" i="20"/>
  <c r="AX7" i="20"/>
  <c r="AY7" i="20"/>
  <c r="AQ8" i="20"/>
  <c r="AR8" i="20"/>
  <c r="AS8" i="20"/>
  <c r="AT8" i="20"/>
  <c r="AU8" i="20"/>
  <c r="AV8" i="20"/>
  <c r="AW8" i="20"/>
  <c r="AX8" i="20"/>
  <c r="AY8" i="20"/>
  <c r="AQ9" i="20"/>
  <c r="AR9" i="20"/>
  <c r="AS9" i="20"/>
  <c r="AT9" i="20"/>
  <c r="AU9" i="20"/>
  <c r="AV9" i="20"/>
  <c r="AW9" i="20"/>
  <c r="AX9" i="20"/>
  <c r="AY9" i="20"/>
  <c r="AQ10" i="20"/>
  <c r="AR10" i="20"/>
  <c r="AS10" i="20"/>
  <c r="AT10" i="20"/>
  <c r="AU10" i="20"/>
  <c r="AV10" i="20"/>
  <c r="AW10" i="20"/>
  <c r="AX10" i="20"/>
  <c r="AY10" i="20"/>
  <c r="AQ11" i="20"/>
  <c r="AR11" i="20"/>
  <c r="AS11" i="20"/>
  <c r="AT11" i="20"/>
  <c r="AU11" i="20"/>
  <c r="AV11" i="20"/>
  <c r="AW11" i="20"/>
  <c r="AX11" i="20"/>
  <c r="AY11" i="20"/>
  <c r="AQ12" i="20"/>
  <c r="AR12" i="20"/>
  <c r="AS12" i="20"/>
  <c r="AT12" i="20"/>
  <c r="AU12" i="20"/>
  <c r="AV12" i="20"/>
  <c r="AW12" i="20"/>
  <c r="AX12" i="20"/>
  <c r="AY12" i="20"/>
  <c r="AQ13" i="20"/>
  <c r="AR13" i="20"/>
  <c r="AS13" i="20"/>
  <c r="AT13" i="20"/>
  <c r="AU13" i="20"/>
  <c r="AV13" i="20"/>
  <c r="AW13" i="20"/>
  <c r="AX13" i="20"/>
  <c r="AY13" i="20"/>
  <c r="AQ14" i="20"/>
  <c r="AR14" i="20"/>
  <c r="AS14" i="20"/>
  <c r="AT14" i="20"/>
  <c r="AU14" i="20"/>
  <c r="AV14" i="20"/>
  <c r="AW14" i="20"/>
  <c r="AX14" i="20"/>
  <c r="AY14" i="20"/>
  <c r="AQ15" i="20"/>
  <c r="AR15" i="20"/>
  <c r="AS15" i="20"/>
  <c r="AT15" i="20"/>
  <c r="AU15" i="20"/>
  <c r="AV15" i="20"/>
  <c r="AW15" i="20"/>
  <c r="AX15" i="20"/>
  <c r="AY15" i="20"/>
  <c r="AQ16" i="20"/>
  <c r="AR16" i="20"/>
  <c r="AS16" i="20"/>
  <c r="AT16" i="20"/>
  <c r="AU16" i="20"/>
  <c r="AV16" i="20"/>
  <c r="AW16" i="20"/>
  <c r="AX16" i="20"/>
  <c r="AY16" i="20"/>
  <c r="AQ17" i="20"/>
  <c r="AR17" i="20"/>
  <c r="AS17" i="20"/>
  <c r="AT17" i="20"/>
  <c r="AU17" i="20"/>
  <c r="AV17" i="20"/>
  <c r="AW17" i="20"/>
  <c r="AX17" i="20"/>
  <c r="AY17" i="20"/>
  <c r="AQ18" i="20"/>
  <c r="AR18" i="20"/>
  <c r="AS18" i="20"/>
  <c r="AT18" i="20"/>
  <c r="AU18" i="20"/>
  <c r="AV18" i="20"/>
  <c r="AW18" i="20"/>
  <c r="AX18" i="20"/>
  <c r="AY18" i="20"/>
  <c r="AQ19" i="20"/>
  <c r="AR19" i="20"/>
  <c r="AS19" i="20"/>
  <c r="AT19" i="20"/>
  <c r="AU19" i="20"/>
  <c r="AV19" i="20"/>
  <c r="AW19" i="20"/>
  <c r="AX19" i="20"/>
  <c r="AY19" i="20"/>
  <c r="AQ20" i="20"/>
  <c r="AR20" i="20"/>
  <c r="AS20" i="20"/>
  <c r="AT20" i="20"/>
  <c r="AU20" i="20"/>
  <c r="AV20" i="20"/>
  <c r="AW20" i="20"/>
  <c r="AX20" i="20"/>
  <c r="AY20" i="20"/>
  <c r="AQ21" i="20"/>
  <c r="AR21" i="20"/>
  <c r="AS21" i="20"/>
  <c r="AT21" i="20"/>
  <c r="AU21" i="20"/>
  <c r="AV21" i="20"/>
  <c r="AW21" i="20"/>
  <c r="AX21" i="20"/>
  <c r="AY21" i="20"/>
  <c r="AQ22" i="20"/>
  <c r="AR22" i="20"/>
  <c r="AS22" i="20"/>
  <c r="AT22" i="20"/>
  <c r="AU22" i="20"/>
  <c r="AV22" i="20"/>
  <c r="AW22" i="20"/>
  <c r="AX22" i="20"/>
  <c r="AY22" i="20"/>
  <c r="AQ23" i="20"/>
  <c r="AR23" i="20"/>
  <c r="AS23" i="20"/>
  <c r="AT23" i="20"/>
  <c r="AU23" i="20"/>
  <c r="AV23" i="20"/>
  <c r="AW23" i="20"/>
  <c r="AX23" i="20"/>
  <c r="AY23" i="20"/>
  <c r="AQ24" i="20"/>
  <c r="AR24" i="20"/>
  <c r="AS24" i="20"/>
  <c r="AT24" i="20"/>
  <c r="AU24" i="20"/>
  <c r="AV24" i="20"/>
  <c r="AW24" i="20"/>
  <c r="AX24" i="20"/>
  <c r="AY24" i="20"/>
  <c r="AQ25" i="20"/>
  <c r="AR25" i="20"/>
  <c r="AS25" i="20"/>
  <c r="AT25" i="20"/>
  <c r="AU25" i="20"/>
  <c r="AV25" i="20"/>
  <c r="AW25" i="20"/>
  <c r="AX25" i="20"/>
  <c r="AY25" i="20"/>
  <c r="AQ26" i="20"/>
  <c r="AR26" i="20"/>
  <c r="AS26" i="20"/>
  <c r="AT26" i="20"/>
  <c r="AU26" i="20"/>
  <c r="AV26" i="20"/>
  <c r="AW26" i="20"/>
  <c r="AX26" i="20"/>
  <c r="AY26" i="20"/>
  <c r="AQ27" i="20"/>
  <c r="AR27" i="20"/>
  <c r="AS27" i="20"/>
  <c r="AT27" i="20"/>
  <c r="AU27" i="20"/>
  <c r="AV27" i="20"/>
  <c r="AW27" i="20"/>
  <c r="AX27" i="20"/>
  <c r="AY27" i="20"/>
  <c r="AQ28" i="20"/>
  <c r="AR28" i="20"/>
  <c r="AS28" i="20"/>
  <c r="AT28" i="20"/>
  <c r="AU28" i="20"/>
  <c r="AV28" i="20"/>
  <c r="AW28" i="20"/>
  <c r="AX28" i="20"/>
  <c r="AY28" i="20"/>
  <c r="AQ29" i="20"/>
  <c r="AR29" i="20"/>
  <c r="AS29" i="20"/>
  <c r="AT29" i="20"/>
  <c r="AU29" i="20"/>
  <c r="AV29" i="20"/>
  <c r="AW29" i="20"/>
  <c r="AX29" i="20"/>
  <c r="AY29" i="20"/>
  <c r="AQ30" i="20"/>
  <c r="AR30" i="20"/>
  <c r="AS30" i="20"/>
  <c r="AT30" i="20"/>
  <c r="AU30" i="20"/>
  <c r="AV30" i="20"/>
  <c r="AW30" i="20"/>
  <c r="AX30" i="20"/>
  <c r="AY30" i="20"/>
  <c r="AQ31" i="20"/>
  <c r="AR31" i="20"/>
  <c r="AS31" i="20"/>
  <c r="AT31" i="20"/>
  <c r="AU31" i="20"/>
  <c r="AV31" i="20"/>
  <c r="AW31" i="20"/>
  <c r="AX31" i="20"/>
  <c r="AY31" i="20"/>
  <c r="AQ32" i="20"/>
  <c r="AR32" i="20"/>
  <c r="AS32" i="20"/>
  <c r="AT32" i="20"/>
  <c r="AU32" i="20"/>
  <c r="AV32" i="20"/>
  <c r="AW32" i="20"/>
  <c r="AX32" i="20"/>
  <c r="AY32" i="20"/>
  <c r="AQ33" i="20"/>
  <c r="AR33" i="20"/>
  <c r="AS33" i="20"/>
  <c r="AT33" i="20"/>
  <c r="AU33" i="20"/>
  <c r="AV33" i="20"/>
  <c r="AW33" i="20"/>
  <c r="AX33" i="20"/>
  <c r="AY33" i="20"/>
  <c r="AQ34" i="20"/>
  <c r="AR34" i="20"/>
  <c r="AS34" i="20"/>
  <c r="AT34" i="20"/>
  <c r="AU34" i="20"/>
  <c r="AV34" i="20"/>
  <c r="AW34" i="20"/>
  <c r="AX34" i="20"/>
  <c r="AY34" i="20"/>
  <c r="AQ35" i="20"/>
  <c r="AR35" i="20"/>
  <c r="AS35" i="20"/>
  <c r="AT35" i="20"/>
  <c r="AU35" i="20"/>
  <c r="AV35" i="20"/>
  <c r="AW35" i="20"/>
  <c r="AX35" i="20"/>
  <c r="AY35" i="20"/>
  <c r="AQ36" i="20"/>
  <c r="AR36" i="20"/>
  <c r="AS36" i="20"/>
  <c r="AT36" i="20"/>
  <c r="AU36" i="20"/>
  <c r="AV36" i="20"/>
  <c r="AW36" i="20"/>
  <c r="AX36" i="20"/>
  <c r="AY36" i="20"/>
  <c r="AQ37" i="20"/>
  <c r="AR37" i="20"/>
  <c r="AS37" i="20"/>
  <c r="AT37" i="20"/>
  <c r="AU37" i="20"/>
  <c r="AV37" i="20"/>
  <c r="AW37" i="20"/>
  <c r="AX37" i="20"/>
  <c r="AY37" i="20"/>
  <c r="AQ38" i="20"/>
  <c r="AR38" i="20"/>
  <c r="AS38" i="20"/>
  <c r="AT38" i="20"/>
  <c r="AU38" i="20"/>
  <c r="AV38" i="20"/>
  <c r="AW38" i="20"/>
  <c r="AX38" i="20"/>
  <c r="AY38" i="20"/>
  <c r="AQ39" i="20"/>
  <c r="AR39" i="20"/>
  <c r="AS39" i="20"/>
  <c r="AT39" i="20"/>
  <c r="AU39" i="20"/>
  <c r="AV39" i="20"/>
  <c r="AW39" i="20"/>
  <c r="AX39" i="20"/>
  <c r="AY39" i="20"/>
  <c r="AQ40" i="20"/>
  <c r="AR40" i="20"/>
  <c r="AS40" i="20"/>
  <c r="AT40" i="20"/>
  <c r="AU40" i="20"/>
  <c r="AV40" i="20"/>
  <c r="AW40" i="20"/>
  <c r="AX40" i="20"/>
  <c r="AY40" i="20"/>
  <c r="AQ41" i="20"/>
  <c r="AR41" i="20"/>
  <c r="AS41" i="20"/>
  <c r="AT41" i="20"/>
  <c r="AU41" i="20"/>
  <c r="AV41" i="20"/>
  <c r="AW41" i="20"/>
  <c r="AX41" i="20"/>
  <c r="AY41" i="20"/>
  <c r="AQ42" i="20"/>
  <c r="AR42" i="20"/>
  <c r="AS42" i="20"/>
  <c r="AT42" i="20"/>
  <c r="AU42" i="20"/>
  <c r="AV42" i="20"/>
  <c r="AW42" i="20"/>
  <c r="AX42" i="20"/>
  <c r="AY42" i="20"/>
  <c r="AQ43" i="20"/>
  <c r="AR43" i="20"/>
  <c r="AS43" i="20"/>
  <c r="AT43" i="20"/>
  <c r="AU43" i="20"/>
  <c r="AV43" i="20"/>
  <c r="AW43" i="20"/>
  <c r="AX43" i="20"/>
  <c r="AY43" i="20"/>
  <c r="AQ44" i="20"/>
  <c r="AR44" i="20"/>
  <c r="AS44" i="20"/>
  <c r="AT44" i="20"/>
  <c r="AU44" i="20"/>
  <c r="AV44" i="20"/>
  <c r="AW44" i="20"/>
  <c r="AX44" i="20"/>
  <c r="AY44" i="20"/>
  <c r="AQ45" i="20"/>
  <c r="AR45" i="20"/>
  <c r="AS45" i="20"/>
  <c r="AT45" i="20"/>
  <c r="AU45" i="20"/>
  <c r="AV45" i="20"/>
  <c r="AW45" i="20"/>
  <c r="AX45" i="20"/>
  <c r="AY45" i="20"/>
  <c r="AQ46" i="20"/>
  <c r="AR46" i="20"/>
  <c r="AS46" i="20"/>
  <c r="AT46" i="20"/>
  <c r="AU46" i="20"/>
  <c r="AV46" i="20"/>
  <c r="AW46" i="20"/>
  <c r="AX46" i="20"/>
  <c r="AY46" i="20"/>
  <c r="AQ47" i="20"/>
  <c r="AR47" i="20"/>
  <c r="AS47" i="20"/>
  <c r="AT47" i="20"/>
  <c r="AU47" i="20"/>
  <c r="AV47" i="20"/>
  <c r="AW47" i="20"/>
  <c r="AX47" i="20"/>
  <c r="AY47" i="20"/>
  <c r="AQ48" i="20"/>
  <c r="AR48" i="20"/>
  <c r="AS48" i="20"/>
  <c r="AT48" i="20"/>
  <c r="AU48" i="20"/>
  <c r="AV48" i="20"/>
  <c r="AW48" i="20"/>
  <c r="AX48" i="20"/>
  <c r="AY48" i="20"/>
  <c r="AQ49" i="20"/>
  <c r="AR49" i="20"/>
  <c r="AS49" i="20"/>
  <c r="AT49" i="20"/>
  <c r="AU49" i="20"/>
  <c r="AV49" i="20"/>
  <c r="AW49" i="20"/>
  <c r="AX49" i="20"/>
  <c r="AY49" i="20"/>
  <c r="AQ50" i="20"/>
  <c r="AR50" i="20"/>
  <c r="AS50" i="20"/>
  <c r="AT50" i="20"/>
  <c r="AU50" i="20"/>
  <c r="AV50" i="20"/>
  <c r="AW50" i="20"/>
  <c r="AX50" i="20"/>
  <c r="AY50" i="20"/>
  <c r="AQ51" i="20"/>
  <c r="AR51" i="20"/>
  <c r="AS51" i="20"/>
  <c r="AT51" i="20"/>
  <c r="AU51" i="20"/>
  <c r="AV51" i="20"/>
  <c r="AW51" i="20"/>
  <c r="AX51" i="20"/>
  <c r="AY51" i="20"/>
  <c r="AQ52" i="20"/>
  <c r="AR52" i="20"/>
  <c r="AS52" i="20"/>
  <c r="AT52" i="20"/>
  <c r="AU52" i="20"/>
  <c r="AV52" i="20"/>
  <c r="AW52" i="20"/>
  <c r="AX52" i="20"/>
  <c r="AY52" i="20"/>
  <c r="AQ53" i="20"/>
  <c r="AR53" i="20"/>
  <c r="AS53" i="20"/>
  <c r="AT53" i="20"/>
  <c r="AU53" i="20"/>
  <c r="AV53" i="20"/>
  <c r="AW53" i="20"/>
  <c r="AX53" i="20"/>
  <c r="AY53" i="20"/>
  <c r="AQ54" i="20"/>
  <c r="AR54" i="20"/>
  <c r="AS54" i="20"/>
  <c r="AT54" i="20"/>
  <c r="AU54" i="20"/>
  <c r="AV54" i="20"/>
  <c r="AW54" i="20"/>
  <c r="AX54" i="20"/>
  <c r="AY54" i="20"/>
  <c r="AQ55" i="20"/>
  <c r="AR55" i="20"/>
  <c r="AS55" i="20"/>
  <c r="AT55" i="20"/>
  <c r="AU55" i="20"/>
  <c r="AV55" i="20"/>
  <c r="AW55" i="20"/>
  <c r="AX55" i="20"/>
  <c r="AY55" i="20"/>
  <c r="AQ56" i="20"/>
  <c r="AR56" i="20"/>
  <c r="AS56" i="20"/>
  <c r="AT56" i="20"/>
  <c r="AU56" i="20"/>
  <c r="AV56" i="20"/>
  <c r="AW56" i="20"/>
  <c r="AX56" i="20"/>
  <c r="AY56" i="20"/>
  <c r="AQ57" i="20"/>
  <c r="AR57" i="20"/>
  <c r="AS57" i="20"/>
  <c r="AT57" i="20"/>
  <c r="AU57" i="20"/>
  <c r="AV57" i="20"/>
  <c r="AW57" i="20"/>
  <c r="AX57" i="20"/>
  <c r="AY57" i="20"/>
  <c r="AQ58" i="20"/>
  <c r="AR58" i="20"/>
  <c r="AS58" i="20"/>
  <c r="AT58" i="20"/>
  <c r="AU58" i="20"/>
  <c r="AV58" i="20"/>
  <c r="AW58" i="20"/>
  <c r="AX58" i="20"/>
  <c r="AY58" i="20"/>
  <c r="AQ59" i="20"/>
  <c r="AR59" i="20"/>
  <c r="AS59" i="20"/>
  <c r="AT59" i="20"/>
  <c r="AU59" i="20"/>
  <c r="AV59" i="20"/>
  <c r="AW59" i="20"/>
  <c r="AX59" i="20"/>
  <c r="AY59" i="20"/>
  <c r="AQ60" i="20"/>
  <c r="AR60" i="20"/>
  <c r="AS60" i="20"/>
  <c r="AT60" i="20"/>
  <c r="AU60" i="20"/>
  <c r="AV60" i="20"/>
  <c r="AW60" i="20"/>
  <c r="AX60" i="20"/>
  <c r="AY60" i="20"/>
  <c r="AQ61" i="20"/>
  <c r="AR61" i="20"/>
  <c r="AS61" i="20"/>
  <c r="AT61" i="20"/>
  <c r="AU61" i="20"/>
  <c r="AV61" i="20"/>
  <c r="AW61" i="20"/>
  <c r="AX61" i="20"/>
  <c r="AY61" i="20"/>
  <c r="AP3" i="20"/>
  <c r="AP4" i="20"/>
  <c r="AP5" i="20"/>
  <c r="AP6" i="20"/>
  <c r="AP7" i="20"/>
  <c r="AP8" i="20"/>
  <c r="AP9" i="20"/>
  <c r="AP10" i="20"/>
  <c r="AP11" i="20"/>
  <c r="AP12" i="20"/>
  <c r="AP13" i="20"/>
  <c r="AP14" i="20"/>
  <c r="AP15" i="20"/>
  <c r="AP16" i="20"/>
  <c r="AP17" i="20"/>
  <c r="AP18" i="20"/>
  <c r="AP19" i="20"/>
  <c r="AP20" i="20"/>
  <c r="AP21" i="20"/>
  <c r="AP22" i="20"/>
  <c r="AP23" i="20"/>
  <c r="AP24" i="20"/>
  <c r="AP25" i="20"/>
  <c r="AP26" i="20"/>
  <c r="AP27" i="20"/>
  <c r="AP28" i="20"/>
  <c r="AP29" i="20"/>
  <c r="AP30" i="20"/>
  <c r="AP31" i="20"/>
  <c r="AP32" i="20"/>
  <c r="AP33" i="20"/>
  <c r="AP34" i="20"/>
  <c r="AP35" i="20"/>
  <c r="AP36" i="20"/>
  <c r="AP37" i="20"/>
  <c r="AP38" i="20"/>
  <c r="AP39" i="20"/>
  <c r="AP40" i="20"/>
  <c r="AP41" i="20"/>
  <c r="AP42" i="20"/>
  <c r="AP43" i="20"/>
  <c r="AP44" i="20"/>
  <c r="AP45" i="20"/>
  <c r="AP46" i="20"/>
  <c r="AP47" i="20"/>
  <c r="AP48" i="20"/>
  <c r="AP49" i="20"/>
  <c r="AP50" i="20"/>
  <c r="AP51" i="20"/>
  <c r="AP52" i="20"/>
  <c r="AP53" i="20"/>
  <c r="AP54" i="20"/>
  <c r="AP55" i="20"/>
  <c r="AP56" i="20"/>
  <c r="AP57" i="20"/>
  <c r="AP58" i="20"/>
  <c r="AP59" i="20"/>
  <c r="AP60" i="20"/>
  <c r="AP61" i="20"/>
  <c r="AP2" i="20"/>
  <c r="W2" i="20"/>
  <c r="X2" i="20"/>
  <c r="Y2" i="20"/>
  <c r="Z2" i="20"/>
  <c r="AA2" i="20"/>
  <c r="AB2" i="20"/>
  <c r="AC2" i="20"/>
  <c r="AD2" i="20"/>
  <c r="AE2" i="20"/>
  <c r="AF2" i="20"/>
  <c r="AG2" i="20"/>
  <c r="AH2" i="20"/>
  <c r="AI2" i="20"/>
  <c r="AJ2" i="20"/>
  <c r="AK2" i="20"/>
  <c r="AL2" i="20"/>
  <c r="AM2" i="20"/>
  <c r="AN2" i="20"/>
  <c r="AO2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AJ3" i="20"/>
  <c r="AK3" i="20"/>
  <c r="AL3" i="20"/>
  <c r="AM3" i="20"/>
  <c r="AN3" i="20"/>
  <c r="AO3" i="20"/>
  <c r="W4" i="20"/>
  <c r="X4" i="20"/>
  <c r="Y4" i="20"/>
  <c r="Z4" i="20"/>
  <c r="AA4" i="20"/>
  <c r="AB4" i="20"/>
  <c r="AC4" i="20"/>
  <c r="AD4" i="20"/>
  <c r="AE4" i="20"/>
  <c r="AF4" i="20"/>
  <c r="AG4" i="20"/>
  <c r="AH4" i="20"/>
  <c r="AI4" i="20"/>
  <c r="AJ4" i="20"/>
  <c r="AK4" i="20"/>
  <c r="AL4" i="20"/>
  <c r="AM4" i="20"/>
  <c r="AN4" i="20"/>
  <c r="AO4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AK5" i="20"/>
  <c r="AL5" i="20"/>
  <c r="AM5" i="20"/>
  <c r="AN5" i="20"/>
  <c r="AO5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V3" i="20"/>
  <c r="V4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6" i="20"/>
  <c r="V47" i="20"/>
  <c r="V48" i="20"/>
  <c r="V49" i="20"/>
  <c r="V50" i="20"/>
  <c r="V51" i="20"/>
  <c r="V52" i="20"/>
  <c r="V53" i="20"/>
  <c r="V54" i="20"/>
  <c r="V55" i="20"/>
  <c r="V56" i="20"/>
  <c r="V57" i="20"/>
  <c r="V58" i="20"/>
  <c r="V59" i="20"/>
  <c r="V60" i="20"/>
  <c r="V61" i="20"/>
  <c r="V2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C21" i="20"/>
  <c r="D21" i="20"/>
  <c r="E21" i="20"/>
  <c r="F21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C22" i="20"/>
  <c r="D22" i="20"/>
  <c r="E22" i="20"/>
  <c r="F22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C28" i="20"/>
  <c r="D28" i="20"/>
  <c r="E28" i="20"/>
  <c r="F28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C29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C30" i="20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C32" i="20"/>
  <c r="D32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C33" i="20"/>
  <c r="D33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C34" i="20"/>
  <c r="D34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C35" i="20"/>
  <c r="D35" i="20"/>
  <c r="E35" i="20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C36" i="20"/>
  <c r="D36" i="20"/>
  <c r="E36" i="20"/>
  <c r="F36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C37" i="20"/>
  <c r="D37" i="20"/>
  <c r="E37" i="20"/>
  <c r="F37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C38" i="20"/>
  <c r="D38" i="20"/>
  <c r="E38" i="20"/>
  <c r="F38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C42" i="20"/>
  <c r="D42" i="20"/>
  <c r="E42" i="20"/>
  <c r="F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C45" i="20"/>
  <c r="D45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C46" i="20"/>
  <c r="D46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C47" i="20"/>
  <c r="D47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C49" i="20"/>
  <c r="D49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C50" i="20"/>
  <c r="D50" i="20"/>
  <c r="E50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C51" i="20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C54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C5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C56" i="20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C57" i="20"/>
  <c r="D57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C58" i="20"/>
  <c r="D58" i="20"/>
  <c r="E58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C59" i="20"/>
  <c r="D59" i="20"/>
  <c r="E59" i="20"/>
  <c r="F59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C60" i="20"/>
  <c r="D60" i="20"/>
  <c r="E60" i="20"/>
  <c r="F60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2" i="20"/>
  <c r="B2" i="20"/>
  <c r="A2" i="19"/>
  <c r="B2" i="19"/>
  <c r="C2" i="19"/>
  <c r="C64" i="22" l="1"/>
  <c r="B64" i="22"/>
  <c r="C63" i="22"/>
  <c r="B63" i="22"/>
  <c r="C62" i="22"/>
  <c r="B62" i="22"/>
  <c r="C61" i="22"/>
  <c r="B61" i="22"/>
  <c r="C60" i="22"/>
  <c r="B60" i="22"/>
  <c r="C59" i="22"/>
  <c r="B59" i="22"/>
  <c r="C58" i="22"/>
  <c r="B58" i="22"/>
  <c r="C57" i="22"/>
  <c r="B57" i="22"/>
  <c r="C56" i="22"/>
  <c r="B56" i="22"/>
  <c r="C55" i="22"/>
  <c r="B55" i="22"/>
  <c r="C54" i="22"/>
  <c r="B54" i="22"/>
  <c r="C53" i="22"/>
  <c r="B53" i="22"/>
  <c r="C52" i="22"/>
  <c r="B52" i="22"/>
  <c r="C51" i="22"/>
  <c r="B51" i="22"/>
  <c r="C50" i="22"/>
  <c r="B50" i="22"/>
  <c r="C49" i="22"/>
  <c r="B49" i="22"/>
  <c r="C48" i="22"/>
  <c r="B48" i="22"/>
  <c r="C47" i="22"/>
  <c r="B47" i="22"/>
  <c r="C46" i="22"/>
  <c r="B46" i="22"/>
  <c r="C45" i="22"/>
  <c r="B45" i="22"/>
  <c r="C44" i="22"/>
  <c r="B44" i="22"/>
  <c r="C43" i="22"/>
  <c r="B43" i="22"/>
  <c r="C42" i="22"/>
  <c r="B42" i="22"/>
  <c r="C41" i="22"/>
  <c r="B41" i="22"/>
  <c r="C40" i="22"/>
  <c r="B40" i="22"/>
  <c r="C39" i="22"/>
  <c r="B39" i="22"/>
  <c r="C38" i="22"/>
  <c r="B38" i="22"/>
  <c r="C37" i="22"/>
  <c r="B37" i="22"/>
  <c r="C36" i="22"/>
  <c r="B36" i="22"/>
  <c r="C35" i="22"/>
  <c r="B35" i="22"/>
  <c r="C34" i="22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5" i="22"/>
  <c r="B5" i="22"/>
  <c r="AV2" i="19"/>
  <c r="AW2" i="19"/>
  <c r="AX2" i="19"/>
  <c r="AY2" i="19"/>
  <c r="AZ2" i="19"/>
  <c r="BA2" i="19"/>
  <c r="BB2" i="19"/>
  <c r="BC2" i="19"/>
  <c r="BD2" i="19"/>
  <c r="BE2" i="19"/>
  <c r="BF2" i="19"/>
  <c r="BG2" i="19"/>
  <c r="BH2" i="19"/>
  <c r="BI2" i="19"/>
  <c r="BJ2" i="19"/>
  <c r="BK2" i="19"/>
  <c r="BL2" i="19"/>
  <c r="BM2" i="19"/>
  <c r="BN2" i="19"/>
  <c r="AU2" i="19"/>
  <c r="BP2" i="19"/>
  <c r="BQ2" i="19"/>
  <c r="BR2" i="19"/>
  <c r="BS2" i="19"/>
  <c r="BT2" i="19"/>
  <c r="BU2" i="19"/>
  <c r="BV2" i="19"/>
  <c r="BW2" i="19"/>
  <c r="BX2" i="19"/>
  <c r="BY2" i="19"/>
  <c r="BZ2" i="19"/>
  <c r="CA2" i="19"/>
  <c r="CB2" i="19"/>
  <c r="CC2" i="19"/>
  <c r="CD2" i="19"/>
  <c r="CE2" i="19"/>
  <c r="CF2" i="19"/>
  <c r="CG2" i="19"/>
  <c r="CH2" i="19"/>
  <c r="BO2" i="19"/>
  <c r="ER2" i="19" l="1"/>
  <c r="FQ2" i="19"/>
  <c r="FR2" i="19"/>
  <c r="FP2" i="19"/>
  <c r="FG2" i="19"/>
  <c r="FH2" i="19"/>
  <c r="FI2" i="19"/>
  <c r="FJ2" i="19"/>
  <c r="FF2" i="19"/>
  <c r="FB2" i="19"/>
  <c r="FC2" i="19"/>
  <c r="FD2" i="19"/>
  <c r="FE2" i="19"/>
  <c r="FA2" i="19"/>
  <c r="EW2" i="19"/>
  <c r="EX2" i="19"/>
  <c r="EY2" i="19"/>
  <c r="EZ2" i="19"/>
  <c r="EV2" i="19"/>
  <c r="BX3" i="20"/>
  <c r="BX4" i="20"/>
  <c r="BX5" i="20"/>
  <c r="BX6" i="20"/>
  <c r="BX7" i="20"/>
  <c r="BX8" i="20"/>
  <c r="BX9" i="20"/>
  <c r="BX10" i="20"/>
  <c r="BX11" i="20"/>
  <c r="BX12" i="20"/>
  <c r="BX13" i="20"/>
  <c r="BX14" i="20"/>
  <c r="BX15" i="20"/>
  <c r="BX16" i="20"/>
  <c r="BX17" i="20"/>
  <c r="BX18" i="20"/>
  <c r="BX19" i="20"/>
  <c r="BX20" i="20"/>
  <c r="BX21" i="20"/>
  <c r="BX22" i="20"/>
  <c r="BX23" i="20"/>
  <c r="BX24" i="20"/>
  <c r="BX25" i="20"/>
  <c r="BX26" i="20"/>
  <c r="BX27" i="20"/>
  <c r="BX28" i="20"/>
  <c r="BX29" i="20"/>
  <c r="BX30" i="20"/>
  <c r="BX31" i="20"/>
  <c r="BX32" i="20"/>
  <c r="BX33" i="20"/>
  <c r="BX34" i="20"/>
  <c r="BX35" i="20"/>
  <c r="BX36" i="20"/>
  <c r="BX37" i="20"/>
  <c r="BX38" i="20"/>
  <c r="BX39" i="20"/>
  <c r="BX40" i="20"/>
  <c r="BX41" i="20"/>
  <c r="BX42" i="20"/>
  <c r="BX43" i="20"/>
  <c r="BX44" i="20"/>
  <c r="BX45" i="20"/>
  <c r="BX46" i="20"/>
  <c r="BX47" i="20"/>
  <c r="BX48" i="20"/>
  <c r="BX49" i="20"/>
  <c r="BX50" i="20"/>
  <c r="BX51" i="20"/>
  <c r="BX52" i="20"/>
  <c r="BX53" i="20"/>
  <c r="BX54" i="20"/>
  <c r="BX55" i="20"/>
  <c r="BX56" i="20"/>
  <c r="BX57" i="20"/>
  <c r="BX58" i="20"/>
  <c r="BX59" i="20"/>
  <c r="BX60" i="20"/>
  <c r="BX61" i="20"/>
  <c r="BX2" i="20"/>
  <c r="BW2" i="20"/>
  <c r="A55" i="18" l="1"/>
  <c r="B55" i="18"/>
  <c r="C55" i="18"/>
  <c r="A56" i="18"/>
  <c r="B56" i="18"/>
  <c r="C56" i="18"/>
  <c r="A57" i="18"/>
  <c r="B57" i="18"/>
  <c r="C57" i="18"/>
  <c r="A58" i="18"/>
  <c r="B58" i="18"/>
  <c r="C58" i="18"/>
  <c r="A59" i="18"/>
  <c r="B59" i="18"/>
  <c r="C59" i="18"/>
  <c r="A60" i="18"/>
  <c r="B60" i="18"/>
  <c r="C60" i="18"/>
  <c r="A61" i="18"/>
  <c r="B61" i="18"/>
  <c r="C61" i="18"/>
  <c r="A62" i="18"/>
  <c r="B62" i="18"/>
  <c r="C62" i="18"/>
  <c r="A63" i="18"/>
  <c r="B63" i="18"/>
  <c r="C63" i="18"/>
  <c r="A64" i="18"/>
  <c r="B64" i="18"/>
  <c r="C64" i="18"/>
  <c r="A55" i="17"/>
  <c r="B55" i="17"/>
  <c r="C55" i="17"/>
  <c r="A56" i="17"/>
  <c r="B56" i="17"/>
  <c r="C56" i="17"/>
  <c r="A57" i="17"/>
  <c r="B57" i="17"/>
  <c r="C57" i="17"/>
  <c r="A58" i="17"/>
  <c r="B58" i="17"/>
  <c r="C58" i="17"/>
  <c r="A59" i="17"/>
  <c r="B59" i="17"/>
  <c r="C59" i="17"/>
  <c r="A60" i="17"/>
  <c r="B60" i="17"/>
  <c r="C60" i="17"/>
  <c r="A61" i="17"/>
  <c r="B61" i="17"/>
  <c r="C61" i="17"/>
  <c r="A62" i="17"/>
  <c r="B62" i="17"/>
  <c r="C62" i="17"/>
  <c r="A63" i="17"/>
  <c r="B63" i="17"/>
  <c r="C63" i="17"/>
  <c r="A64" i="17"/>
  <c r="B64" i="17"/>
  <c r="C64" i="17"/>
  <c r="A55" i="16"/>
  <c r="B55" i="16"/>
  <c r="C55" i="16"/>
  <c r="A56" i="16"/>
  <c r="B56" i="16"/>
  <c r="C56" i="16"/>
  <c r="A57" i="16"/>
  <c r="B57" i="16"/>
  <c r="C57" i="16"/>
  <c r="A58" i="16"/>
  <c r="B58" i="16"/>
  <c r="C58" i="16"/>
  <c r="A59" i="16"/>
  <c r="B59" i="16"/>
  <c r="C59" i="16"/>
  <c r="A60" i="16"/>
  <c r="B60" i="16"/>
  <c r="C60" i="16"/>
  <c r="A61" i="16"/>
  <c r="B61" i="16"/>
  <c r="C61" i="16"/>
  <c r="A62" i="16"/>
  <c r="B62" i="16"/>
  <c r="C62" i="16"/>
  <c r="A63" i="16"/>
  <c r="B63" i="16"/>
  <c r="C63" i="16"/>
  <c r="A64" i="16"/>
  <c r="B64" i="16"/>
  <c r="C64" i="16"/>
  <c r="A55" i="12"/>
  <c r="B55" i="12"/>
  <c r="C55" i="12"/>
  <c r="A56" i="12"/>
  <c r="B56" i="12"/>
  <c r="C56" i="12"/>
  <c r="A57" i="12"/>
  <c r="B57" i="12"/>
  <c r="C57" i="12"/>
  <c r="A58" i="12"/>
  <c r="B58" i="12"/>
  <c r="C58" i="12"/>
  <c r="A59" i="12"/>
  <c r="B59" i="12"/>
  <c r="C59" i="12"/>
  <c r="A60" i="12"/>
  <c r="B60" i="12"/>
  <c r="C60" i="12"/>
  <c r="A61" i="12"/>
  <c r="B61" i="12"/>
  <c r="C61" i="12"/>
  <c r="A62" i="12"/>
  <c r="B62" i="12"/>
  <c r="C62" i="12"/>
  <c r="A63" i="12"/>
  <c r="B63" i="12"/>
  <c r="C63" i="12"/>
  <c r="A64" i="12"/>
  <c r="B64" i="12"/>
  <c r="C64" i="12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A61" i="11"/>
  <c r="A62" i="11"/>
  <c r="A63" i="11"/>
  <c r="A64" i="11"/>
  <c r="A55" i="11"/>
  <c r="A56" i="11"/>
  <c r="A57" i="11"/>
  <c r="A58" i="11"/>
  <c r="A59" i="11"/>
  <c r="A60" i="11"/>
  <c r="B51" i="18" l="1"/>
  <c r="C51" i="18"/>
  <c r="B52" i="18"/>
  <c r="C52" i="18"/>
  <c r="B53" i="18"/>
  <c r="C53" i="18"/>
  <c r="B54" i="18"/>
  <c r="C54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6" i="18"/>
  <c r="C6" i="18"/>
  <c r="C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" i="18"/>
  <c r="B51" i="17"/>
  <c r="C51" i="17"/>
  <c r="B52" i="17"/>
  <c r="C52" i="17"/>
  <c r="B53" i="17"/>
  <c r="C53" i="17"/>
  <c r="B54" i="17"/>
  <c r="C54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6" i="17"/>
  <c r="C6" i="17"/>
  <c r="C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" i="17"/>
  <c r="B51" i="16"/>
  <c r="C51" i="16"/>
  <c r="B52" i="16"/>
  <c r="C52" i="16"/>
  <c r="B53" i="16"/>
  <c r="C53" i="16"/>
  <c r="B54" i="16"/>
  <c r="C54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6" i="16"/>
  <c r="C6" i="16"/>
  <c r="C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" i="16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" i="12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" i="12"/>
  <c r="B5" i="12"/>
  <c r="B5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" i="11"/>
  <c r="DN2" i="19" l="1"/>
  <c r="DO2" i="19"/>
  <c r="DP2" i="19"/>
  <c r="DQ2" i="19"/>
  <c r="DR2" i="19"/>
  <c r="DS2" i="19"/>
  <c r="DT2" i="19"/>
  <c r="DU2" i="19"/>
  <c r="DV2" i="19"/>
  <c r="DM2" i="19"/>
  <c r="DD2" i="19"/>
  <c r="DE2" i="19"/>
  <c r="DF2" i="19"/>
  <c r="DG2" i="19"/>
  <c r="DH2" i="19"/>
  <c r="DI2" i="19"/>
  <c r="DJ2" i="19"/>
  <c r="DK2" i="19"/>
  <c r="DL2" i="19"/>
  <c r="DC2" i="19"/>
  <c r="CT2" i="19"/>
  <c r="CU2" i="19"/>
  <c r="CV2" i="19"/>
  <c r="CW2" i="19"/>
  <c r="CX2" i="19"/>
  <c r="CY2" i="19"/>
  <c r="CZ2" i="19"/>
  <c r="DA2" i="19"/>
  <c r="DB2" i="19"/>
  <c r="CS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AO2" i="19"/>
  <c r="AP2" i="19"/>
  <c r="AQ2" i="19"/>
  <c r="AR2" i="19"/>
  <c r="AS2" i="19"/>
  <c r="AT2" i="19"/>
  <c r="AA2" i="19"/>
  <c r="EQ2" i="19" l="1"/>
  <c r="ES2" i="19"/>
  <c r="EH2" i="19"/>
  <c r="EI2" i="19"/>
  <c r="EJ2" i="19"/>
  <c r="EK2" i="19"/>
  <c r="EL2" i="19"/>
  <c r="EM2" i="19"/>
  <c r="EN2" i="19"/>
  <c r="EO2" i="19"/>
  <c r="EP2" i="19"/>
  <c r="EG2" i="19"/>
  <c r="DZ2" i="19"/>
  <c r="EA2" i="19"/>
  <c r="EB2" i="19"/>
  <c r="EC2" i="19"/>
  <c r="ED2" i="19"/>
  <c r="EE2" i="19"/>
  <c r="EF2" i="19"/>
  <c r="DX2" i="19"/>
  <c r="DY2" i="19"/>
  <c r="DW2" i="19"/>
  <c r="CJ2" i="19"/>
  <c r="CK2" i="19"/>
  <c r="CL2" i="19"/>
  <c r="CM2" i="19"/>
  <c r="CN2" i="19"/>
  <c r="CO2" i="19"/>
  <c r="CP2" i="19"/>
  <c r="CQ2" i="19"/>
  <c r="CR2" i="19"/>
  <c r="CI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G2" i="19"/>
  <c r="D2" i="19" l="1"/>
  <c r="E2" i="19"/>
  <c r="F2" i="19"/>
  <c r="B5" i="18" l="1"/>
  <c r="B5" i="17"/>
  <c r="BV2" i="20"/>
  <c r="BV3" i="20"/>
  <c r="B5" i="16"/>
  <c r="EU2" i="19"/>
  <c r="ET2" i="19"/>
</calcChain>
</file>

<file path=xl/sharedStrings.xml><?xml version="1.0" encoding="utf-8"?>
<sst xmlns="http://schemas.openxmlformats.org/spreadsheetml/2006/main" count="574" uniqueCount="449">
  <si>
    <t xml:space="preserve">Version </t>
  </si>
  <si>
    <t>1.5.1</t>
  </si>
  <si>
    <t xml:space="preserve">ข้อควรรู้ก่อนเริ่ม </t>
  </si>
  <si>
    <t>1. ฟอร์มนำเข้าข้อมูลคะแนนได้ทำการผูกสูตรและล๊อกเซลล์ไว้แล้ว ซึ่งเซลล์ที่ถูกล๊อกไว้จะไม่สามารถกดหรือทำการแก้ไขได้</t>
  </si>
  <si>
    <r>
      <t xml:space="preserve">2. </t>
    </r>
    <r>
      <rPr>
        <b/>
        <sz val="16"/>
        <color rgb="FF0070C0"/>
        <rFont val="Angsana New"/>
        <family val="1"/>
        <charset val="222"/>
      </rPr>
      <t>--รหัสนักเรียน--</t>
    </r>
    <r>
      <rPr>
        <b/>
        <sz val="16"/>
        <color theme="1"/>
        <rFont val="Angsana New"/>
        <family val="1"/>
        <charset val="222"/>
      </rPr>
      <t xml:space="preserve"> ให้กรอกเฉพาะในชีท </t>
    </r>
    <r>
      <rPr>
        <b/>
        <sz val="16"/>
        <color rgb="FF0070C0"/>
        <rFont val="Angsana New"/>
        <family val="1"/>
        <charset val="222"/>
      </rPr>
      <t>"คะแนนเก็บ"</t>
    </r>
    <r>
      <rPr>
        <b/>
        <sz val="16"/>
        <color theme="1"/>
        <rFont val="Angsana New"/>
        <family val="1"/>
        <charset val="222"/>
      </rPr>
      <t xml:space="preserve"> และต้องตรงกันกับในฐานข้อมูล School Bright จึงจะทำการอัพโหลดได้</t>
    </r>
  </si>
  <si>
    <t>3. ให้แยกไฟล์ออกเป็นแต่ล่ะวิชาและแต่ล่ะห้อง ( 1 ไฟล์ ต่อ 1  วิชา ต่อ 1 ห้อง)</t>
  </si>
  <si>
    <t>4. สามารถกรอกได้สูงสุดครั้งล่ะ 60 คน ต่อไฟล์</t>
  </si>
  <si>
    <t>5. สามารถศึกษาวีดีโอการลงข้อมูลอย่างละเอียดได้จากลิงค์ www.youtube.com</t>
  </si>
  <si>
    <r>
      <t xml:space="preserve">ชีท </t>
    </r>
    <r>
      <rPr>
        <b/>
        <sz val="16"/>
        <color theme="4"/>
        <rFont val="Angsana New"/>
        <family val="1"/>
        <charset val="222"/>
      </rPr>
      <t>--ตั้งค่าสัดส่วนคะแนน-</t>
    </r>
    <r>
      <rPr>
        <b/>
        <sz val="16"/>
        <color theme="1"/>
        <rFont val="Angsana New"/>
        <family val="1"/>
        <charset val="222"/>
      </rPr>
      <t xml:space="preserve">- ให้ตั้งสัดส่วนคะแนนของคะแนนเก็บ คะแนนเก็บหลังกลางภาค กลางภาค ปลายภาค และ %ตัดผ่านของคะแนนเก็บ/ตัวชี้วัด ตามความต้องการ </t>
    </r>
    <r>
      <rPr>
        <b/>
        <sz val="16"/>
        <color theme="4"/>
        <rFont val="Angsana New"/>
        <family val="1"/>
        <charset val="222"/>
      </rPr>
      <t>---</t>
    </r>
    <r>
      <rPr>
        <b/>
        <sz val="16"/>
        <color rgb="FFFF0000"/>
        <rFont val="Angsana New"/>
        <family val="1"/>
        <charset val="222"/>
      </rPr>
      <t>ห้ามเว้นว่างไว้</t>
    </r>
    <r>
      <rPr>
        <b/>
        <sz val="16"/>
        <color theme="4"/>
        <rFont val="Angsana New"/>
        <family val="1"/>
        <charset val="222"/>
      </rPr>
      <t>---</t>
    </r>
  </si>
  <si>
    <t>คะแนนเก็บ</t>
  </si>
  <si>
    <t>กลางภาค</t>
  </si>
  <si>
    <t>คะแนนเก็บหลังกลางภาค</t>
  </si>
  <si>
    <t>ปลายภาค</t>
  </si>
  <si>
    <t>% ตัดผ่านของคะแนนเก็บ/หน่วยชี้วัดแต่ละจุด</t>
  </si>
  <si>
    <t>คำอธิบาย</t>
  </si>
  <si>
    <t>กรณีที่ 1 ไม่แยกคะแนนเก็บก่อนและหลังกลางภาคในระบบ</t>
  </si>
  <si>
    <t>1. สมมุติว่าวิชาภาษาไทย มีสัดส่วนคะแนนเป็น คะแนนเก็บ 50 คะแนนสอบกลางภาค 20 และคะแนนสอบปลายภาค 30</t>
  </si>
  <si>
    <r>
      <t xml:space="preserve">ให้ตั้งค่าดังนี้ </t>
    </r>
    <r>
      <rPr>
        <b/>
        <sz val="16"/>
        <color theme="1"/>
        <rFont val="Angsana New"/>
        <family val="1"/>
      </rPr>
      <t>คะแนนเก็บ 50 คะแนนเก็บหลังกลางภาค 0 คะแนนสอบกลางภาค 20 และคะแนนสอบปลายภาค 30</t>
    </r>
  </si>
  <si>
    <t>กรณีที่ 2 แยกคะแนนเก็บก่อนและหลังกลางภาคในระบบ</t>
  </si>
  <si>
    <t>2. สมมุติว่าวิชาภาษาไทย มีสัดส่วนคะแนนเป็น คะแนนเก็บ 30 คะแนนเก็บหลังกลางภาค 20 คะแนนสอบกลางภาค 20 และคะแนนสอบปลายภาค 30</t>
  </si>
  <si>
    <r>
      <t xml:space="preserve">ให้ตั้งค่าดังนี้ </t>
    </r>
    <r>
      <rPr>
        <b/>
        <sz val="16"/>
        <color theme="1"/>
        <rFont val="Angsana New"/>
        <family val="1"/>
      </rPr>
      <t>คะแนนเก็บ 30 คะแนนเก็บหลังกลางภาค 20 คะแนนสอบกลางภาค 20 และคะแนนสอบปลายภาค 30</t>
    </r>
  </si>
  <si>
    <r>
      <t xml:space="preserve">3. </t>
    </r>
    <r>
      <rPr>
        <b/>
        <sz val="16"/>
        <color theme="1"/>
        <rFont val="Angsana New"/>
        <family val="1"/>
        <charset val="222"/>
      </rPr>
      <t>%ตัดผ่านของคะแนนเก็บ/หน่วยชี้วัด</t>
    </r>
    <r>
      <rPr>
        <sz val="16"/>
        <color theme="1"/>
        <rFont val="Angsana New"/>
        <family val="1"/>
        <charset val="222"/>
      </rPr>
      <t xml:space="preserve"> หมายถึง คะแนนที่นักเรียนต้องทำได้เป็นอย่างน้อยในส่วนคะแนนเก็บ จึงจะถือว่าผ่าน</t>
    </r>
  </si>
  <si>
    <r>
      <t xml:space="preserve">เช่น หัวข้อคะแนนที่ 1 เต็ม 10 คะแนน นักเรียนต้องได้ 6 คะแนน </t>
    </r>
    <r>
      <rPr>
        <b/>
        <sz val="16"/>
        <color theme="1"/>
        <rFont val="Angsana New"/>
        <family val="1"/>
      </rPr>
      <t>ให้ตั้งเป็น 60</t>
    </r>
  </si>
  <si>
    <r>
      <t xml:space="preserve">ชีท </t>
    </r>
    <r>
      <rPr>
        <b/>
        <sz val="16"/>
        <color theme="4"/>
        <rFont val="Angsana New"/>
        <family val="1"/>
        <charset val="222"/>
      </rPr>
      <t>--คะแนนเก็บ-</t>
    </r>
    <r>
      <rPr>
        <b/>
        <sz val="16"/>
        <color theme="1"/>
        <rFont val="Angsana New"/>
        <family val="1"/>
        <charset val="222"/>
      </rPr>
      <t xml:space="preserve">- ให้ตั้งชื่อหัวข้อตามความต้องการและกรอกคะแนนเต็มของแต่ล่ะหน่วย </t>
    </r>
    <r>
      <rPr>
        <b/>
        <sz val="16"/>
        <color theme="4"/>
        <rFont val="Angsana New"/>
        <family val="1"/>
        <charset val="222"/>
      </rPr>
      <t>---ช่องใดไม่ใช้งานให้เว้นว่างไว้---</t>
    </r>
  </si>
  <si>
    <t>เลขที่</t>
  </si>
  <si>
    <t>รหัสนักเรียน</t>
  </si>
  <si>
    <t>ชื่อหัวข้อ</t>
  </si>
  <si>
    <t>คะแนนเก็บ/ตัวชี้วัด</t>
  </si>
  <si>
    <t>รวม</t>
  </si>
  <si>
    <t>ตัวอย่าง</t>
  </si>
  <si>
    <t>2</t>
  </si>
  <si>
    <t>9</t>
  </si>
  <si>
    <t>11</t>
  </si>
  <si>
    <t>16</t>
  </si>
  <si>
    <t>คะแนนเต็ม</t>
  </si>
  <si>
    <t>1</t>
  </si>
  <si>
    <t>123</t>
  </si>
  <si>
    <t>เด็กชายจับจ่าย รักโรงเรียน</t>
  </si>
  <si>
    <t>456</t>
  </si>
  <si>
    <t>เด็กชายสคูล ไบร์ท</t>
  </si>
  <si>
    <t>3</t>
  </si>
  <si>
    <t>A123</t>
  </si>
  <si>
    <t>เด็กหญิงน้ำเพชร ใจดี</t>
  </si>
  <si>
    <t>4</t>
  </si>
  <si>
    <t>5</t>
  </si>
  <si>
    <t>6</t>
  </si>
  <si>
    <t>7</t>
  </si>
  <si>
    <t>8</t>
  </si>
  <si>
    <t>10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</si>
  <si>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</si>
  <si>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</si>
  <si>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</si>
  <si>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</si>
  <si>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</si>
  <si>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</si>
  <si>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</si>
  <si>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</si>
  <si>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</si>
  <si>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</si>
  <si>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</si>
  <si>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</si>
  <si>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</si>
  <si>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</si>
  <si>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</si>
  <si>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</si>
  <si>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</si>
  <si>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</si>
  <si>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</si>
  <si>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</si>
  <si>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</si>
  <si>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</si>
  <si>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</si>
  <si>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</si>
  <si>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</si>
  <si>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</si>
  <si>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</si>
  <si>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</si>
  <si>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</si>
  <si>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</si>
  <si>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</si>
  <si>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</si>
  <si>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</si>
  <si>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</si>
  <si>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</si>
  <si>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</si>
  <si>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</si>
  <si>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</si>
  <si>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</si>
  <si>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</si>
  <si>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</si>
  <si>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</si>
  <si>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</si>
  <si>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</si>
  <si>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</si>
  <si>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</si>
  <si>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</si>
  <si>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</si>
  <si>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r>
      <t xml:space="preserve">ชีท </t>
    </r>
    <r>
      <rPr>
        <b/>
        <sz val="16"/>
        <color theme="4"/>
        <rFont val="Angsana New"/>
        <family val="1"/>
        <charset val="222"/>
      </rPr>
      <t>--กลางภาค--</t>
    </r>
    <r>
      <rPr>
        <b/>
        <sz val="16"/>
        <color theme="1"/>
        <rFont val="Angsana New"/>
        <family val="1"/>
        <charset val="222"/>
      </rPr>
      <t xml:space="preserve"> ให้ตั้งชื่อหัวข้อตามความต้องการและกรอกคะแนนเต็มของแต่ล่ะหน่วย </t>
    </r>
    <r>
      <rPr>
        <b/>
        <sz val="16"/>
        <color theme="4"/>
        <rFont val="Angsana New"/>
        <family val="1"/>
        <charset val="222"/>
      </rPr>
      <t>---ช่องใดไม่ใช้งานให้เว้นว่างไว้---</t>
    </r>
  </si>
  <si>
    <t>คะแนนสอบกลางภาค</t>
  </si>
  <si>
    <r>
      <t xml:space="preserve">ชีท </t>
    </r>
    <r>
      <rPr>
        <b/>
        <sz val="16"/>
        <color theme="4"/>
        <rFont val="Angsana New"/>
        <family val="1"/>
        <charset val="222"/>
      </rPr>
      <t>--คะแนนเก็บหลังกลางภาค-</t>
    </r>
    <r>
      <rPr>
        <b/>
        <sz val="16"/>
        <color theme="1"/>
        <rFont val="Angsana New"/>
        <family val="1"/>
        <charset val="222"/>
      </rPr>
      <t xml:space="preserve">- ให้ตั้งชื่อหัวข้อตามความต้องการและกรอกคะแนนเต็มของแต่ล่ะหน่วย </t>
    </r>
    <r>
      <rPr>
        <b/>
        <sz val="16"/>
        <color theme="4"/>
        <rFont val="Angsana New"/>
        <family val="1"/>
        <charset val="222"/>
      </rPr>
      <t>---ช่องใดไม่ใช้งานให้เว้นว่างไว้---</t>
    </r>
  </si>
  <si>
    <r>
      <t xml:space="preserve">ชีท </t>
    </r>
    <r>
      <rPr>
        <b/>
        <sz val="16"/>
        <color theme="4"/>
        <rFont val="Angsana New"/>
        <family val="1"/>
        <charset val="222"/>
      </rPr>
      <t>--ปลายภาค--</t>
    </r>
    <r>
      <rPr>
        <b/>
        <sz val="16"/>
        <color theme="1"/>
        <rFont val="Angsana New"/>
        <family val="1"/>
        <charset val="222"/>
      </rPr>
      <t xml:space="preserve"> ให้ตั้งชื่อหัวข้อตามความต้องการและกรอกคะแนนเต็มของแต่ล่ะหน่วย </t>
    </r>
    <r>
      <rPr>
        <b/>
        <sz val="16"/>
        <color theme="4"/>
        <rFont val="Angsana New"/>
        <family val="1"/>
        <charset val="222"/>
      </rPr>
      <t>---ช่องใดไม่ใช้งานให้เว้นว่างไว้---</t>
    </r>
  </si>
  <si>
    <t>คะแนนสอบปลายภาค</t>
  </si>
  <si>
    <r>
      <t>ชีท --</t>
    </r>
    <r>
      <rPr>
        <b/>
        <sz val="16"/>
        <color theme="4"/>
        <rFont val="Angsana New"/>
        <family val="1"/>
        <charset val="222"/>
      </rPr>
      <t>คุณลักษณะอันพึงประสงค์</t>
    </r>
    <r>
      <rPr>
        <b/>
        <sz val="16"/>
        <color theme="1"/>
        <rFont val="Angsana New"/>
        <family val="1"/>
        <charset val="222"/>
      </rPr>
      <t>--  ---</t>
    </r>
    <r>
      <rPr>
        <b/>
        <sz val="16"/>
        <color theme="4"/>
        <rFont val="Angsana New"/>
        <family val="1"/>
        <charset val="222"/>
      </rPr>
      <t>ช่องใดไม่ใช้งานให้เว้นว่างไว้</t>
    </r>
    <r>
      <rPr>
        <b/>
        <sz val="16"/>
        <color theme="1"/>
        <rFont val="Angsana New"/>
        <family val="1"/>
        <charset val="222"/>
      </rPr>
      <t>---</t>
    </r>
  </si>
  <si>
    <t>1 รักชาติ ศาสน์ กษัตริย์</t>
  </si>
  <si>
    <t>2 ซื่อสัตย์สุจริต</t>
  </si>
  <si>
    <t>3 มีวินัย</t>
  </si>
  <si>
    <t>4 ใฝ่เรียนรู้</t>
  </si>
  <si>
    <t>5 อยู่อย่างพอเพียง</t>
  </si>
  <si>
    <t>6 มุ่งมั่นในการทำงาน</t>
  </si>
  <si>
    <t>7 รักความเป็นไทย</t>
  </si>
  <si>
    <t>8 มีจิตสาธารณะ</t>
  </si>
  <si>
    <t xml:space="preserve"> ข้อควรระวัง : คะแนนเต็มต้องตรงกับหน้าบันทึกคะแนน</t>
  </si>
  <si>
    <r>
      <t>ชีท --</t>
    </r>
    <r>
      <rPr>
        <b/>
        <sz val="16"/>
        <color theme="4"/>
        <rFont val="Angsana New"/>
        <family val="1"/>
        <charset val="222"/>
      </rPr>
      <t>อ่าน คิด วิเคราะห์</t>
    </r>
    <r>
      <rPr>
        <b/>
        <sz val="16"/>
        <color theme="1"/>
        <rFont val="Angsana New"/>
        <family val="1"/>
        <charset val="222"/>
      </rPr>
      <t xml:space="preserve">-- </t>
    </r>
    <r>
      <rPr>
        <b/>
        <sz val="16"/>
        <color theme="1"/>
        <rFont val="Angsana New"/>
        <family val="1"/>
        <charset val="222"/>
      </rPr>
      <t xml:space="preserve"> หากให้ระบบคำนวณอัติโนมัติไม่ต้องทำอะไรในหน้านี้ให้ปล่อยว่างไว้</t>
    </r>
  </si>
  <si>
    <t>อ่านคิดวิเคราะห์และเขียน</t>
  </si>
  <si>
    <t>1 การอ่าน</t>
  </si>
  <si>
    <t>2 การคิดวิเคราะห์</t>
  </si>
  <si>
    <t>3 การเขียน</t>
  </si>
  <si>
    <r>
      <t>ชีท --</t>
    </r>
    <r>
      <rPr>
        <b/>
        <sz val="16"/>
        <color theme="4"/>
        <rFont val="Angsana New"/>
        <family val="1"/>
        <charset val="222"/>
      </rPr>
      <t>สมรรถนะ</t>
    </r>
    <r>
      <rPr>
        <b/>
        <sz val="16"/>
        <color theme="1"/>
        <rFont val="Angsana New"/>
        <family val="1"/>
        <charset val="222"/>
      </rPr>
      <t xml:space="preserve">--  </t>
    </r>
  </si>
  <si>
    <t>สมรรถนะ</t>
  </si>
  <si>
    <t>1 หัวข้อตามที่ตั้งค่าในระบบ</t>
  </si>
  <si>
    <t>2 หัวข้อตามที่ตั้งค่าในระบบ</t>
  </si>
  <si>
    <t>3 หัวข้อตามที่ตั้งค่าในระบบ</t>
  </si>
  <si>
    <t>4 หัวข้อตามที่ตั้งค่าในระบบ</t>
  </si>
  <si>
    <t>5 หัวข้อตามที่ตั้งค่าในระบบ</t>
  </si>
  <si>
    <t>6 หัวข้อตามที่ตั้งค่าในระบบ</t>
  </si>
  <si>
    <t>7 หัวข้อตามที่ตั้งค่าในระบบ</t>
  </si>
  <si>
    <t>8 หัวข้อตามที่ตั้งค่าในระบบ</t>
  </si>
  <si>
    <t>9 หัวข้อตามที่ตั้งค่าในระบบ</t>
  </si>
  <si>
    <t>10 หัวข้อตามที่ตั้งค่าในระบบ</t>
  </si>
  <si>
    <t>fRatioQuiz</t>
  </si>
  <si>
    <t>fRatioBeforeMidTerm</t>
  </si>
  <si>
    <t>fRatioAfterMidTerm</t>
  </si>
  <si>
    <t>fRatioMidTerm</t>
  </si>
  <si>
    <t>fRatioLateTerm</t>
  </si>
  <si>
    <t>fRatioQuizPass</t>
  </si>
  <si>
    <t>maxGrade1</t>
  </si>
  <si>
    <t>maxGrade2</t>
  </si>
  <si>
    <t>maxGrade3</t>
  </si>
  <si>
    <t>maxGrade4</t>
  </si>
  <si>
    <t>maxGrade5</t>
  </si>
  <si>
    <t>maxGrade6</t>
  </si>
  <si>
    <t>maxGrade7</t>
  </si>
  <si>
    <t>maxGrade8</t>
  </si>
  <si>
    <t>maxGrade9</t>
  </si>
  <si>
    <t>maxGrade10</t>
  </si>
  <si>
    <t>maxGrade11</t>
  </si>
  <si>
    <t>maxGrade12</t>
  </si>
  <si>
    <t>maxGrade13</t>
  </si>
  <si>
    <t>maxGrade14</t>
  </si>
  <si>
    <t>maxGrade15</t>
  </si>
  <si>
    <t>maxGrade16</t>
  </si>
  <si>
    <t>maxGrade17</t>
  </si>
  <si>
    <t>maxGrade18</t>
  </si>
  <si>
    <t>maxGrade19</t>
  </si>
  <si>
    <t>maxGrade20</t>
  </si>
  <si>
    <t>nameGrade1</t>
  </si>
  <si>
    <t>nameGrade2</t>
  </si>
  <si>
    <t>nameGrade3</t>
  </si>
  <si>
    <t>nameGrade4</t>
  </si>
  <si>
    <t>nameGrade5</t>
  </si>
  <si>
    <t>nameGrade6</t>
  </si>
  <si>
    <t>nameGrade7</t>
  </si>
  <si>
    <t>nameGrade8</t>
  </si>
  <si>
    <t>nameGrade9</t>
  </si>
  <si>
    <t>nameGrade10</t>
  </si>
  <si>
    <t>nameGrade11</t>
  </si>
  <si>
    <t>nameGrade12</t>
  </si>
  <si>
    <t>nameGrade13</t>
  </si>
  <si>
    <t>nameGrade14</t>
  </si>
  <si>
    <t>nameGrade15</t>
  </si>
  <si>
    <t>nameGrade16</t>
  </si>
  <si>
    <t>nameGrade17</t>
  </si>
  <si>
    <t>nameGrade18</t>
  </si>
  <si>
    <t>nameGrade19</t>
  </si>
  <si>
    <t>nameGrade20</t>
  </si>
  <si>
    <t>maxCheewat1</t>
  </si>
  <si>
    <t>maxCheewat2</t>
  </si>
  <si>
    <t>maxCheewat3</t>
  </si>
  <si>
    <t>maxCheewat4</t>
  </si>
  <si>
    <t>maxCheewat5</t>
  </si>
  <si>
    <t>maxCheewat6</t>
  </si>
  <si>
    <t>maxCheewat7</t>
  </si>
  <si>
    <t>maxCheewat8</t>
  </si>
  <si>
    <t>maxCheewat9</t>
  </si>
  <si>
    <t>maxCheewat10</t>
  </si>
  <si>
    <t>maxCheewat11</t>
  </si>
  <si>
    <t>maxCheewat12</t>
  </si>
  <si>
    <t>maxCheewat13</t>
  </si>
  <si>
    <t>maxCheewat14</t>
  </si>
  <si>
    <t>maxCheewat15</t>
  </si>
  <si>
    <t>maxCheewat16</t>
  </si>
  <si>
    <t>maxCheewat17</t>
  </si>
  <si>
    <t>maxCheewat18</t>
  </si>
  <si>
    <t>maxCheewat19</t>
  </si>
  <si>
    <t>maxCheewat20</t>
  </si>
  <si>
    <t>nameCheewat1</t>
  </si>
  <si>
    <t>nameCheewat2</t>
  </si>
  <si>
    <t>nameCheewat3</t>
  </si>
  <si>
    <t>nameCheewat4</t>
  </si>
  <si>
    <t>nameCheewat5</t>
  </si>
  <si>
    <t>nameCheewat6</t>
  </si>
  <si>
    <t>nameCheewat7</t>
  </si>
  <si>
    <t>nameCheewat8</t>
  </si>
  <si>
    <t>nameCheewat9</t>
  </si>
  <si>
    <t>nameCheewat10</t>
  </si>
  <si>
    <t>nameCheewat11</t>
  </si>
  <si>
    <t>nameCheewat12</t>
  </si>
  <si>
    <t>nameCheewat13</t>
  </si>
  <si>
    <t>nameCheewat14</t>
  </si>
  <si>
    <t>nameCheewat15</t>
  </si>
  <si>
    <t>nameCheewat16</t>
  </si>
  <si>
    <t>nameCheewat17</t>
  </si>
  <si>
    <t>nameCheewat18</t>
  </si>
  <si>
    <t>nameCheewat19</t>
  </si>
  <si>
    <t>nameCheewat20</t>
  </si>
  <si>
    <t>maxBehavior1</t>
  </si>
  <si>
    <t>maxBehavior2</t>
  </si>
  <si>
    <t>maxBehavior3</t>
  </si>
  <si>
    <t>maxBehavior4</t>
  </si>
  <si>
    <t>maxBehavior5</t>
  </si>
  <si>
    <t>maxBehavior6</t>
  </si>
  <si>
    <t>maxBehavior7</t>
  </si>
  <si>
    <t>maxBehavior8</t>
  </si>
  <si>
    <t>maxBehavior9</t>
  </si>
  <si>
    <t>maxBehavior10</t>
  </si>
  <si>
    <t>nameBehavior1</t>
  </si>
  <si>
    <t>nameBehavior2</t>
  </si>
  <si>
    <t>nameBehavior3</t>
  </si>
  <si>
    <t>nameBehavior4</t>
  </si>
  <si>
    <t>nameBehavior5</t>
  </si>
  <si>
    <t>nameBehavior6</t>
  </si>
  <si>
    <t>nameBehavior7</t>
  </si>
  <si>
    <t>nameBehavior8</t>
  </si>
  <si>
    <t>nameBehavior9</t>
  </si>
  <si>
    <t>nameBehavior10</t>
  </si>
  <si>
    <t>nameMid1</t>
  </si>
  <si>
    <t>nameMid2</t>
  </si>
  <si>
    <t>nameMid3</t>
  </si>
  <si>
    <t>nameMid4</t>
  </si>
  <si>
    <t>nameMid5</t>
  </si>
  <si>
    <t>nameMid6</t>
  </si>
  <si>
    <t>nameMid7</t>
  </si>
  <si>
    <t>nameMid8</t>
  </si>
  <si>
    <t>nameMid9</t>
  </si>
  <si>
    <t>nameMid10</t>
  </si>
  <si>
    <t>nameFinal1</t>
  </si>
  <si>
    <t>nameFinal2</t>
  </si>
  <si>
    <t>nameFinal3</t>
  </si>
  <si>
    <t>nameFinal4</t>
  </si>
  <si>
    <t>nameFinal5</t>
  </si>
  <si>
    <t>nameFinal6</t>
  </si>
  <si>
    <t>nameFinal7</t>
  </si>
  <si>
    <t>nameFinal8</t>
  </si>
  <si>
    <t>nameFinal9</t>
  </si>
  <si>
    <t>nameFinal10</t>
  </si>
  <si>
    <t>maxMid1</t>
  </si>
  <si>
    <t>maxMid2</t>
  </si>
  <si>
    <t>maxMid3</t>
  </si>
  <si>
    <t>maxMid4</t>
  </si>
  <si>
    <t>maxMid5</t>
  </si>
  <si>
    <t>maxMid6</t>
  </si>
  <si>
    <t>maxMid7</t>
  </si>
  <si>
    <t>maxMid8</t>
  </si>
  <si>
    <t>maxMid9</t>
  </si>
  <si>
    <t>maxMid10</t>
  </si>
  <si>
    <t>maxFinal1</t>
  </si>
  <si>
    <t>maxFinal2</t>
  </si>
  <si>
    <t>maxFinal3</t>
  </si>
  <si>
    <t>maxFinal4</t>
  </si>
  <si>
    <t>maxFinal5</t>
  </si>
  <si>
    <t>maxFinal6</t>
  </si>
  <si>
    <t>maxFinal7</t>
  </si>
  <si>
    <t>maxFinal8</t>
  </si>
  <si>
    <t>maxFinal9</t>
  </si>
  <si>
    <t>maxFinal10</t>
  </si>
  <si>
    <t>maxBeforeMidTermTotal</t>
  </si>
  <si>
    <t>maxAfterMidTermTotal</t>
  </si>
  <si>
    <t>maxgradetotal</t>
  </si>
  <si>
    <t>maxmidtotal</t>
  </si>
  <si>
    <t>maxfinaltotal</t>
  </si>
  <si>
    <t>maxReadWrite1</t>
  </si>
  <si>
    <t>maxReadWrite2</t>
  </si>
  <si>
    <t>maxReadWrite3</t>
  </si>
  <si>
    <t>maxReadWrite4</t>
  </si>
  <si>
    <t>maxReadWrite5</t>
  </si>
  <si>
    <t>nameReadWrite1</t>
  </si>
  <si>
    <t>nameReadWrite2</t>
  </si>
  <si>
    <t>nameReadWrite3</t>
  </si>
  <si>
    <t>nameReadWrite4</t>
  </si>
  <si>
    <t>nameReadWrite5</t>
  </si>
  <si>
    <t>maxSamattana1</t>
  </si>
  <si>
    <t>maxSamattana2</t>
  </si>
  <si>
    <t>maxSamattana3</t>
  </si>
  <si>
    <t>maxSamattana4</t>
  </si>
  <si>
    <t>maxSamattana5</t>
  </si>
  <si>
    <t>maxSamattana6</t>
  </si>
  <si>
    <t>maxSamattana7</t>
  </si>
  <si>
    <t>maxSamattana8</t>
  </si>
  <si>
    <t>maxSamattana9</t>
  </si>
  <si>
    <t>maxSamattana10</t>
  </si>
  <si>
    <t>nameSamattana1</t>
  </si>
  <si>
    <t>nameSamattana2</t>
  </si>
  <si>
    <t>nameSamattana3</t>
  </si>
  <si>
    <t>nameSamattana4</t>
  </si>
  <si>
    <t>nameSamattana5</t>
  </si>
  <si>
    <t>nameSamattana6</t>
  </si>
  <si>
    <t>nameSamattana7</t>
  </si>
  <si>
    <t>nameSamattana8</t>
  </si>
  <si>
    <t>nameSamattana9</t>
  </si>
  <si>
    <t>nameSamattana10</t>
  </si>
  <si>
    <t>maxBehavior11</t>
  </si>
  <si>
    <t>maxBehavior12</t>
  </si>
  <si>
    <t>maxBehavior13</t>
  </si>
  <si>
    <t>maxBehavior14</t>
  </si>
  <si>
    <t>maxBehavior15</t>
  </si>
  <si>
    <t>maxBehavior16</t>
  </si>
  <si>
    <t>maxBehavior17</t>
  </si>
  <si>
    <t>maxBehavior18</t>
  </si>
  <si>
    <t>maxBehavior19</t>
  </si>
  <si>
    <t>maxBehavior20</t>
  </si>
  <si>
    <t>nameBehavior11</t>
  </si>
  <si>
    <t>nameBehavior12</t>
  </si>
  <si>
    <t>nameBehavior13</t>
  </si>
  <si>
    <t>nameBehavior14</t>
  </si>
  <si>
    <t>nameBehavior15</t>
  </si>
  <si>
    <t>nameBehavior16</t>
  </si>
  <si>
    <t>nameBehavior17</t>
  </si>
  <si>
    <t>nameBehavior18</t>
  </si>
  <si>
    <t>nameBehavior19</t>
  </si>
  <si>
    <t>nameBehavior20</t>
  </si>
  <si>
    <t>stdSID</t>
  </si>
  <si>
    <t>scoreGrade1</t>
  </si>
  <si>
    <t>scoreGrade2</t>
  </si>
  <si>
    <t>scoreGrade3</t>
  </si>
  <si>
    <t>scoreGrade4</t>
  </si>
  <si>
    <t>scoreGrade5</t>
  </si>
  <si>
    <t>scoreGrade6</t>
  </si>
  <si>
    <t>scoreGrade7</t>
  </si>
  <si>
    <t>scoreGrade8</t>
  </si>
  <si>
    <t>scoreGrade9</t>
  </si>
  <si>
    <t>scoreGrade10</t>
  </si>
  <si>
    <t>scoreGrade11</t>
  </si>
  <si>
    <t>scoreGrade12</t>
  </si>
  <si>
    <t>scoreGrade13</t>
  </si>
  <si>
    <t>scoreGrade14</t>
  </si>
  <si>
    <t>scoreGrade15</t>
  </si>
  <si>
    <t>scoreGrade16</t>
  </si>
  <si>
    <t>scoreGrade17</t>
  </si>
  <si>
    <t>scoreGrade18</t>
  </si>
  <si>
    <t>scoreGrade19</t>
  </si>
  <si>
    <t>scoreGrade20</t>
  </si>
  <si>
    <t>scoreCheewat1</t>
  </si>
  <si>
    <t>scoreCheewat2</t>
  </si>
  <si>
    <t>scoreCheewat3</t>
  </si>
  <si>
    <t>scoreCheewat4</t>
  </si>
  <si>
    <t>scoreCheewat5</t>
  </si>
  <si>
    <t>scoreCheewat6</t>
  </si>
  <si>
    <t>scoreCheewat7</t>
  </si>
  <si>
    <t>scoreCheewat8</t>
  </si>
  <si>
    <t>scoreCheewat9</t>
  </si>
  <si>
    <t>scoreCheewat10</t>
  </si>
  <si>
    <t>scoreCheewat11</t>
  </si>
  <si>
    <t>scoreCheewat12</t>
  </si>
  <si>
    <t>scoreCheewat13</t>
  </si>
  <si>
    <t>scoreCheewat14</t>
  </si>
  <si>
    <t>scoreCheewat15</t>
  </si>
  <si>
    <t>scoreCheewat16</t>
  </si>
  <si>
    <t>scoreCheewat17</t>
  </si>
  <si>
    <t>scoreCheewat18</t>
  </si>
  <si>
    <t>scoreCheewat19</t>
  </si>
  <si>
    <t>scoreCheewat20</t>
  </si>
  <si>
    <t>scoreBehavior1</t>
  </si>
  <si>
    <t>scoreBehavior2</t>
  </si>
  <si>
    <t>scoreBehavior3</t>
  </si>
  <si>
    <t>scoreBehavior4</t>
  </si>
  <si>
    <t>scoreBehavior5</t>
  </si>
  <si>
    <t>scoreBehavior6</t>
  </si>
  <si>
    <t>scoreBehavior7</t>
  </si>
  <si>
    <t>scoreBehavior8</t>
  </si>
  <si>
    <t>scoreBehavior9</t>
  </si>
  <si>
    <t>scoreBehavior10</t>
  </si>
  <si>
    <t>scoreMid1</t>
  </si>
  <si>
    <t>scoreMid2</t>
  </si>
  <si>
    <t>scoreMid3</t>
  </si>
  <si>
    <t>scoreMid4</t>
  </si>
  <si>
    <t>scoreMid5</t>
  </si>
  <si>
    <t>scoreMid6</t>
  </si>
  <si>
    <t>scoreMid7</t>
  </si>
  <si>
    <t>scoreMid8</t>
  </si>
  <si>
    <t>scoreMid9</t>
  </si>
  <si>
    <t>scoreMid10</t>
  </si>
  <si>
    <t>scoreFinal1</t>
  </si>
  <si>
    <t>scoreFinal2</t>
  </si>
  <si>
    <t>scoreFinal3</t>
  </si>
  <si>
    <t>scoreFinal4</t>
  </si>
  <si>
    <t>scoreFinal5</t>
  </si>
  <si>
    <t>scoreFinal6</t>
  </si>
  <si>
    <t>scoreFinal7</t>
  </si>
  <si>
    <t>scoreFinal8</t>
  </si>
  <si>
    <t>scoreFinal9</t>
  </si>
  <si>
    <t>scoreFinal10</t>
  </si>
  <si>
    <t>scoreMidTermSUM</t>
  </si>
  <si>
    <t>scoreFinalTermSUM</t>
  </si>
  <si>
    <t>scoreBahaviorSUM</t>
  </si>
  <si>
    <t>getReadWrite</t>
  </si>
  <si>
    <t>scoreSamatana</t>
  </si>
  <si>
    <t>scoreReadWrite1</t>
  </si>
  <si>
    <t>scoreReadWrite2</t>
  </si>
  <si>
    <t>scoreReadWrite3</t>
  </si>
  <si>
    <t>scoreReadWrite4</t>
  </si>
  <si>
    <t>scoreReadWrite5</t>
  </si>
  <si>
    <t>scoreSamattana1</t>
  </si>
  <si>
    <t>scoreSamattana2</t>
  </si>
  <si>
    <t>scoreSamattana3</t>
  </si>
  <si>
    <t>scoreSamattana4</t>
  </si>
  <si>
    <t>scoreSamattana5</t>
  </si>
  <si>
    <t>scoreSamattana6</t>
  </si>
  <si>
    <t>scoreSamattana7</t>
  </si>
  <si>
    <t>scoreSamattana8</t>
  </si>
  <si>
    <t>scoreSamattana9</t>
  </si>
  <si>
    <t>scoreSamattana10</t>
  </si>
  <si>
    <t>scoreBehavior11</t>
  </si>
  <si>
    <t>scoreBehavior12</t>
  </si>
  <si>
    <t>scoreBehavior13</t>
  </si>
  <si>
    <t>scoreBehavior14</t>
  </si>
  <si>
    <t>scoreBehavior15</t>
  </si>
  <si>
    <t>scoreBehavior16</t>
  </si>
  <si>
    <t>scoreBehavior17</t>
  </si>
  <si>
    <t>scoreBehavior18</t>
  </si>
  <si>
    <t>scoreBehavior19</t>
  </si>
  <si>
    <t>scoreBehavior20</t>
  </si>
  <si>
    <t>Version update log</t>
  </si>
  <si>
    <t>1.4.6</t>
  </si>
  <si>
    <t>1. แก้ไขสูตร การแสดง ค่า 0 จากว่างเป็นค่า 0 sheet dev2</t>
  </si>
  <si>
    <t>2. เพิ่ม sheet "Update log"</t>
  </si>
  <si>
    <t>1.4.9</t>
  </si>
  <si>
    <t>1. เพิ่มสมรรถนะให้รองรับ 10 ช่อง (เดิม 5 ช่อง) และปิดไม่ให้แก้ทุกช่อง</t>
  </si>
  <si>
    <t>2. ตั้งชื่อหัวข้อสมรรถนทั้งหมดเป็น "หัวข้อตามที่ตั้งค่าในระบบ"</t>
  </si>
  <si>
    <t>3. เพิ่มดักการแจ้งเตือนคะแนนเต็มสมรรถนะให้กรอกได้ไม่เกิน 3 และต้องเป็นตัวเลขเท่านั้น</t>
  </si>
  <si>
    <t>4. ช่องรวมคะแนนเต็มสมรรถนะ ใส่สูตรคำนวนค่า Mode (Column N4)</t>
  </si>
  <si>
    <t>5. เพิ่ม ข้อความ " ข้อควรระวัง : คะแนนเต็มต้องตรงกับหน้าบันทึกคะแนน" ชีท คุณลักษณะอันพึงประสงค์ อ่านคิดวิเคราะห์ สมรรถนะ</t>
  </si>
  <si>
    <t>6. เพิ่มคุณลักษณะอันพึงประสงค์เป็น 20 ช่อง (เดิม 10 ช่อง)</t>
  </si>
  <si>
    <t>7. แก้ไข ค่าสรุป Mode sheet อ่านคิดวิเคราะห์ คุณลักษณะ สมรรถนะ หากจำนวนที่กรอกเท่ากัน ให้เลือกแสดงคะแนนที่สูงกว่า</t>
  </si>
  <si>
    <t>8. คะแนนเก็บ กลางภาค คะแนนเก็บกลางภาค ปลายภาค ปรับ Data validation ให้ตรวจสอบค่า Blank ในช่องกรอกคะแนน</t>
  </si>
  <si>
    <t>9. Sheet Dev2 แก้ไข ScoreMidTermSUM, ScoreFinalTermSUM ให้ไม่ Default 0</t>
  </si>
  <si>
    <t>10 คะแนนเก็บ กลางภาค คะแนนเก็บกลางภาค ปลายภาค แก้ไข ค่า Blank ให้แสดงผลรวมให้เป็น Blank (จากเดิมที่แสดง 0 แล้ว ใช้ Contional formatting ให้แสดงเป็นสีขาว)</t>
  </si>
  <si>
    <t>11. เพิ่ม Version หน้า ข้อควรรู้ก่อนเริ่ม</t>
  </si>
  <si>
    <t>1.5.0</t>
  </si>
  <si>
    <t>1. แก้ไขบักสูตรการ Total Sum ชีท คะแนนเก็บและคะแนนเก็บหลังกลางภาค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</si>
</sst>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theme="1"/>
      <name val="Angsana New"/>
      <family val="1"/>
      <charset val="222"/>
    </font>
    <font>
      <b/>
      <sz val="16"/>
      <color theme="4"/>
      <name val="Angsana New"/>
      <family val="1"/>
      <charset val="222"/>
    </font>
    <font>
      <sz val="16"/>
      <color theme="1"/>
      <name val="Angsana New"/>
      <family val="1"/>
      <charset val="222"/>
    </font>
    <font>
      <sz val="11"/>
      <color theme="1"/>
      <name val="Angsana New"/>
      <family val="1"/>
      <charset val="222"/>
    </font>
    <font>
      <b/>
      <sz val="16"/>
      <color rgb="FFFF0000"/>
      <name val="Angsana New"/>
      <family val="1"/>
      <charset val="222"/>
    </font>
    <font>
      <sz val="16"/>
      <name val="Angsana New"/>
      <family val="1"/>
      <charset val="222"/>
    </font>
    <font>
      <b/>
      <u/>
      <sz val="16"/>
      <color rgb="FFC00000"/>
      <name val="Angsana New"/>
      <family val="1"/>
      <charset val="222"/>
    </font>
    <font>
      <b/>
      <sz val="16"/>
      <color rgb="FF0070C0"/>
      <name val="Angsana New"/>
      <family val="1"/>
      <charset val="222"/>
    </font>
    <font>
      <sz val="16"/>
      <color theme="1"/>
      <name val="Sitka Display"/>
    </font>
    <font>
      <sz val="8"/>
      <name val="Calibri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b/>
      <sz val="14"/>
      <color theme="1"/>
      <name val="Angsana New"/>
      <family val="1"/>
    </font>
    <font>
      <sz val="16"/>
      <color rgb="FFFF0000"/>
      <name val="Angsana New"/>
      <family val="1"/>
      <charset val="22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49" fontId="1" fillId="0" borderId="0" xfId="0" applyNumberFormat="1" applyFont="1" applyProtection="1">
      <protection locked="0"/>
    </xf>
    <xf numFmtId="49" fontId="1" fillId="0" borderId="0" xfId="0" applyNumberFormat="1" applyFont="1"/>
    <xf numFmtId="49" fontId="2" fillId="0" borderId="0" xfId="0" applyNumberFormat="1" applyFont="1"/>
    <xf numFmtId="0" fontId="1" fillId="0" borderId="0" xfId="0" applyFont="1" applyAlignment="1" applyProtection="1">
      <alignment horizontal="center" vertical="center"/>
      <protection locked="0"/>
    </xf>
    <xf numFmtId="1" fontId="0" fillId="0" borderId="0" xfId="0" applyNumberFormat="1"/>
    <xf numFmtId="0" fontId="0" fillId="0" borderId="0" xfId="0" applyProtection="1"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2" fillId="0" borderId="2" xfId="0" applyNumberFormat="1" applyFont="1" applyBorder="1"/>
    <xf numFmtId="49" fontId="5" fillId="0" borderId="1" xfId="0" applyNumberFormat="1" applyFont="1" applyBorder="1" applyAlignment="1" applyProtection="1">
      <alignment horizontal="center" textRotation="90"/>
      <protection locked="0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49" fontId="5" fillId="3" borderId="1" xfId="0" applyNumberFormat="1" applyFont="1" applyFill="1" applyBorder="1"/>
    <xf numFmtId="0" fontId="5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/>
    <xf numFmtId="0" fontId="5" fillId="0" borderId="0" xfId="0" applyFont="1"/>
    <xf numFmtId="1" fontId="5" fillId="0" borderId="0" xfId="0" applyNumberFormat="1" applyFont="1"/>
    <xf numFmtId="49" fontId="5" fillId="0" borderId="0" xfId="0" applyNumberFormat="1" applyFont="1" applyProtection="1">
      <protection locked="0"/>
    </xf>
    <xf numFmtId="49" fontId="5" fillId="0" borderId="0" xfId="0" applyNumberFormat="1" applyFont="1" applyAlignment="1" applyProtection="1">
      <alignment horizontal="center" textRotation="90"/>
      <protection locked="0"/>
    </xf>
    <xf numFmtId="49" fontId="5" fillId="3" borderId="1" xfId="0" applyNumberFormat="1" applyFont="1" applyFill="1" applyBorder="1" applyAlignment="1">
      <alignment horizontal="center" textRotation="90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11" fillId="0" borderId="0" xfId="0" applyNumberFormat="1" applyFont="1" applyProtection="1"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49" fontId="5" fillId="0" borderId="1" xfId="0" applyNumberFormat="1" applyFont="1" applyBorder="1" applyProtection="1">
      <protection locked="0"/>
    </xf>
    <xf numFmtId="49" fontId="5" fillId="4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/>
      <protection locked="0"/>
    </xf>
    <xf numFmtId="49" fontId="1" fillId="0" borderId="1" xfId="0" applyNumberFormat="1" applyFont="1" applyBorder="1" applyProtection="1">
      <protection locked="0"/>
    </xf>
    <xf numFmtId="49" fontId="14" fillId="3" borderId="4" xfId="0" applyNumberFormat="1" applyFont="1" applyFill="1" applyBorder="1" applyAlignment="1">
      <alignment horizontal="center" textRotation="90" wrapText="1"/>
    </xf>
    <xf numFmtId="0" fontId="14" fillId="3" borderId="1" xfId="0" applyFont="1" applyFill="1" applyBorder="1" applyAlignment="1">
      <alignment horizontal="center" vertical="center"/>
    </xf>
    <xf numFmtId="49" fontId="14" fillId="0" borderId="4" xfId="0" applyNumberFormat="1" applyFont="1" applyBorder="1" applyAlignment="1" applyProtection="1">
      <alignment horizontal="center" textRotation="90" wrapText="1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3" fillId="0" borderId="0" xfId="0" applyFont="1"/>
    <xf numFmtId="0" fontId="5" fillId="6" borderId="0" xfId="0" applyFont="1" applyFill="1"/>
    <xf numFmtId="0" fontId="1" fillId="0" borderId="0" xfId="0" applyFont="1" applyProtection="1">
      <protection locked="0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4" fillId="4" borderId="1" xfId="0" applyFont="1" applyFill="1" applyBorder="1" applyAlignment="1" applyProtection="1">
      <alignment horizontal="center" vertical="center"/>
      <protection locked="0"/>
    </xf>
    <xf numFmtId="49" fontId="15" fillId="3" borderId="4" xfId="0" applyNumberFormat="1" applyFont="1" applyFill="1" applyBorder="1" applyAlignment="1">
      <alignment horizontal="center" textRotation="90" wrapText="1"/>
    </xf>
    <xf numFmtId="49" fontId="17" fillId="0" borderId="0" xfId="0" applyNumberFormat="1" applyFont="1" applyProtection="1">
      <protection locked="0"/>
    </xf>
    <xf numFmtId="0" fontId="0" fillId="6" borderId="0" xfId="0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18" fillId="0" borderId="0" xfId="0" applyFont="1"/>
    <xf numFmtId="49" fontId="3" fillId="0" borderId="0" xfId="0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/>
    </xf>
    <xf numFmtId="49" fontId="3" fillId="2" borderId="1" xfId="0" applyNumberFormat="1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textRotation="90"/>
    </xf>
    <xf numFmtId="49" fontId="3" fillId="2" borderId="5" xfId="0" applyNumberFormat="1" applyFont="1" applyFill="1" applyBorder="1" applyAlignment="1">
      <alignment horizontal="center" vertical="center" textRotation="90"/>
    </xf>
    <xf numFmtId="49" fontId="3" fillId="2" borderId="4" xfId="0" applyNumberFormat="1" applyFont="1" applyFill="1" applyBorder="1" applyAlignment="1">
      <alignment horizontal="center" vertical="center" textRotation="90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center" vertical="center"/>
    </xf>
    <xf numFmtId="49" fontId="16" fillId="2" borderId="10" xfId="0" applyNumberFormat="1" applyFont="1" applyFill="1" applyBorder="1" applyAlignment="1">
      <alignment horizontal="center" vertical="center" wrapText="1"/>
    </xf>
    <xf numFmtId="49" fontId="16" fillId="2" borderId="11" xfId="0" applyNumberFormat="1" applyFont="1" applyFill="1" applyBorder="1" applyAlignment="1">
      <alignment horizontal="center" vertical="center" wrapText="1"/>
    </xf>
    <xf numFmtId="49" fontId="16" fillId="2" borderId="9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B6DF89"/>
      <color rgb="FFFFFF93"/>
      <color rgb="FF68CBFC"/>
      <color rgb="FF65D7FF"/>
      <color rgb="FFF4B1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0AFF-BA00-483E-93D3-2343AC55DDC1}">
  <sheetPr>
    <tabColor rgb="FFF4B184"/>
  </sheetPr>
  <dimension ref="A1:O7"/>
  <sheetViews>
    <sheetView tabSelected="1" workbookViewId="0"/>
  </sheetViews>
  <sheetFormatPr defaultRowHeight="14.45"/>
  <sheetData>
    <row r="1" spans="1:15">
      <c r="A1" s="56" t="s">
        <v>0</v>
      </c>
      <c r="B1" s="56" t="s">
        <v>1</v>
      </c>
    </row>
    <row r="2" spans="1:15" ht="23.45">
      <c r="A2" s="59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23.45">
      <c r="A3" s="60" t="s">
        <v>3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5" ht="23.45">
      <c r="A4" s="57" t="s">
        <v>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21"/>
    </row>
    <row r="5" spans="1:15" ht="23.45">
      <c r="A5" s="60" t="s">
        <v>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1:15" ht="23.45">
      <c r="A6" s="60" t="s">
        <v>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</row>
    <row r="7" spans="1:15" ht="23.45" hidden="1">
      <c r="A7" s="60" t="s">
        <v>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</row>
  </sheetData>
  <sheetProtection algorithmName="SHA-512" hashValue="D9N4ZF8hTsIr16ykl16+SlS6a40XLFJS5IKGj8tOdN438WImQrGB6iBJmo8gcK941ZNEH5LDHf8g5zQemXbeaQ==" saltValue="HV7TPhVblcv5ulKaOExbbA==" spinCount="100000" sheet="1" selectLockedCells="1"/>
  <mergeCells count="5">
    <mergeCell ref="A2:O2"/>
    <mergeCell ref="A3:O3"/>
    <mergeCell ref="A5:O5"/>
    <mergeCell ref="A6:O6"/>
    <mergeCell ref="A7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7DF1-D367-4AAA-979F-30C088A232C3}">
  <sheetPr codeName="Sheet1">
    <tabColor rgb="FFB6DF89"/>
  </sheetPr>
  <dimension ref="A1:X14"/>
  <sheetViews>
    <sheetView workbookViewId="0">
      <selection activeCell="K5" sqref="K5"/>
    </sheetView>
  </sheetViews>
  <sheetFormatPr defaultColWidth="9.28515625" defaultRowHeight="14.45"/>
  <cols>
    <col min="1" max="1" width="10.42578125" style="6" bestFit="1" customWidth="1"/>
    <col min="2" max="2" width="8.7109375" style="6" bestFit="1" customWidth="1"/>
    <col min="3" max="3" width="21.85546875" style="6" bestFit="1" customWidth="1"/>
    <col min="4" max="4" width="9.28515625" style="6"/>
    <col min="5" max="5" width="39.7109375" style="6" bestFit="1" customWidth="1"/>
    <col min="6" max="6" width="9.28515625" style="6"/>
    <col min="7" max="7" width="10.28515625" style="6" customWidth="1"/>
    <col min="8" max="16384" width="9.28515625" style="6"/>
  </cols>
  <sheetData>
    <row r="1" spans="1:24" s="7" customFormat="1" ht="24">
      <c r="A1" s="61" t="s">
        <v>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3.45">
      <c r="A2" s="36" t="s">
        <v>9</v>
      </c>
      <c r="B2" s="36" t="s">
        <v>10</v>
      </c>
      <c r="C2" s="36" t="s">
        <v>11</v>
      </c>
      <c r="D2" s="36" t="s">
        <v>12</v>
      </c>
      <c r="E2" s="37" t="s">
        <v>13</v>
      </c>
      <c r="F2" s="12"/>
      <c r="G2" s="12"/>
      <c r="H2" s="12"/>
      <c r="I2" s="12"/>
      <c r="J2" s="12"/>
      <c r="K2" s="12"/>
      <c r="L2" s="12"/>
      <c r="M2" s="12"/>
    </row>
    <row r="3" spans="1:24" ht="23.45">
      <c r="A3" s="13"/>
      <c r="B3" s="13"/>
      <c r="C3" s="13"/>
      <c r="D3" s="13"/>
      <c r="E3" s="13"/>
      <c r="F3" s="12"/>
      <c r="G3" s="12"/>
      <c r="H3" s="12"/>
      <c r="I3" s="12"/>
      <c r="J3" s="12"/>
      <c r="K3" s="12"/>
      <c r="L3" s="12"/>
      <c r="M3" s="12"/>
    </row>
    <row r="5" spans="1:24" ht="23.45">
      <c r="A5" s="14" t="s">
        <v>14</v>
      </c>
      <c r="B5" s="35"/>
      <c r="C5" s="15"/>
      <c r="D5" s="15"/>
      <c r="E5" s="15"/>
      <c r="F5" s="15"/>
      <c r="G5" s="15"/>
      <c r="H5" s="15"/>
      <c r="I5" s="15"/>
      <c r="J5"/>
    </row>
    <row r="6" spans="1:24" ht="23.45">
      <c r="A6" s="35" t="s">
        <v>15</v>
      </c>
      <c r="B6" s="35"/>
      <c r="C6" s="15"/>
      <c r="D6" s="15"/>
      <c r="E6" s="15"/>
      <c r="F6" s="15"/>
      <c r="G6" s="15"/>
      <c r="H6" s="15"/>
      <c r="I6" s="15"/>
      <c r="J6"/>
    </row>
    <row r="7" spans="1:24" ht="23.45">
      <c r="A7" s="15" t="s">
        <v>16</v>
      </c>
      <c r="B7" s="15"/>
      <c r="C7" s="15"/>
      <c r="D7" s="15"/>
      <c r="E7" s="15"/>
      <c r="F7" s="15"/>
      <c r="G7" s="15"/>
      <c r="H7" s="15"/>
      <c r="I7" s="15"/>
      <c r="J7"/>
    </row>
    <row r="8" spans="1:24" ht="23.45">
      <c r="A8" s="15" t="s">
        <v>17</v>
      </c>
      <c r="B8" s="39"/>
      <c r="C8" s="39"/>
      <c r="D8" s="39"/>
      <c r="E8" s="39"/>
      <c r="F8" s="15"/>
      <c r="G8" s="15"/>
      <c r="H8" s="15"/>
      <c r="I8" s="15"/>
      <c r="J8"/>
    </row>
    <row r="9" spans="1:24" ht="23.45">
      <c r="A9" s="38" t="s">
        <v>18</v>
      </c>
      <c r="B9" s="15"/>
      <c r="C9" s="15"/>
      <c r="D9" s="15"/>
      <c r="E9" s="15"/>
      <c r="F9" s="15"/>
      <c r="G9" s="15"/>
      <c r="H9" s="15"/>
      <c r="I9" s="15"/>
      <c r="J9"/>
    </row>
    <row r="10" spans="1:24" ht="23.45">
      <c r="A10" s="15" t="s">
        <v>19</v>
      </c>
      <c r="B10" s="15"/>
      <c r="C10" s="15"/>
      <c r="D10" s="15"/>
      <c r="E10" s="15"/>
      <c r="F10" s="15"/>
      <c r="G10" s="15"/>
      <c r="H10" s="15"/>
      <c r="I10" s="15"/>
      <c r="J10"/>
    </row>
    <row r="11" spans="1:24" ht="23.45">
      <c r="A11" s="15" t="s">
        <v>20</v>
      </c>
      <c r="B11" s="39"/>
      <c r="C11" s="39"/>
      <c r="D11" s="39"/>
      <c r="E11" s="39"/>
      <c r="F11" s="15"/>
      <c r="G11" s="15"/>
      <c r="H11" s="15"/>
      <c r="I11" s="15"/>
      <c r="J11"/>
    </row>
    <row r="12" spans="1:24" ht="23.45">
      <c r="A12" s="15" t="s">
        <v>21</v>
      </c>
      <c r="B12" s="15"/>
      <c r="C12" s="15"/>
      <c r="D12" s="15"/>
      <c r="E12" s="15"/>
      <c r="F12" s="15"/>
      <c r="G12" s="15"/>
      <c r="H12" s="15"/>
      <c r="I12" s="15"/>
      <c r="J12"/>
    </row>
    <row r="13" spans="1:24" ht="23.45">
      <c r="A13" s="16" t="s">
        <v>22</v>
      </c>
      <c r="B13" s="16"/>
      <c r="C13" s="15"/>
      <c r="D13" s="15"/>
      <c r="E13" s="39"/>
      <c r="F13" s="15"/>
      <c r="G13" s="15"/>
      <c r="H13" s="15"/>
      <c r="I13" s="15"/>
      <c r="J13"/>
    </row>
    <row r="14" spans="1:24" ht="23.45">
      <c r="A14" s="15"/>
      <c r="B14" s="15"/>
      <c r="C14" s="15"/>
      <c r="D14" s="15"/>
      <c r="E14" s="15"/>
      <c r="F14" s="15"/>
      <c r="G14" s="15"/>
      <c r="H14" s="15"/>
      <c r="I14" s="15"/>
      <c r="J14"/>
    </row>
  </sheetData>
  <sheetProtection algorithmName="SHA-512" hashValue="S8JBeK8JX2PQZXztyEgWuINjZC58HbDD1h+Bh2Z1Tk9QGgIgDoOWrXRbKz1MNwCML+0wbMHKHQqD5bNqkBWhYQ==" saltValue="Q6YfHkTSwicVm7MgkWt67A==" spinCount="100000" sheet="1" selectLockedCells="1"/>
  <mergeCells count="1">
    <mergeCell ref="A1:M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883F-1202-442B-9D8B-3C809559BB34}">
  <sheetPr codeName="Sheet3">
    <tabColor rgb="FF68CBFC"/>
  </sheetPr>
  <dimension ref="A1:AC66"/>
  <sheetViews>
    <sheetView workbookViewId="0">
      <pane xSplit="3" ySplit="4" topLeftCell="D5" activePane="bottomRight" state="frozen"/>
      <selection pane="bottomRight" activeCell="D5" sqref="D5"/>
      <selection pane="bottomLeft" activeCell="F6" sqref="F6"/>
      <selection pane="topRight" activeCell="F6" sqref="F6"/>
    </sheetView>
  </sheetViews>
  <sheetFormatPr defaultColWidth="9.28515625" defaultRowHeight="24"/>
  <cols>
    <col min="1" max="1" width="5.7109375" style="23" customWidth="1"/>
    <col min="2" max="2" width="9.28515625" style="2" customWidth="1"/>
    <col min="3" max="3" width="31.42578125" style="2" customWidth="1"/>
    <col min="4" max="23" width="5" style="1" customWidth="1"/>
    <col min="24" max="24" width="5" style="40" customWidth="1"/>
    <col min="25" max="25" width="9.28515625" style="1"/>
    <col min="26" max="26" width="9.28515625" style="1" customWidth="1"/>
    <col min="27" max="16384" width="9.28515625" style="1"/>
  </cols>
  <sheetData>
    <row r="1" spans="1:29">
      <c r="A1" s="60" t="s">
        <v>23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9" ht="22.5" customHeight="1">
      <c r="A2" s="62" t="s">
        <v>24</v>
      </c>
      <c r="B2" s="62" t="s">
        <v>25</v>
      </c>
      <c r="C2" s="64" t="s">
        <v>26</v>
      </c>
      <c r="D2" s="65" t="s">
        <v>27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7"/>
      <c r="X2" s="63" t="s">
        <v>28</v>
      </c>
    </row>
    <row r="3" spans="1:29" ht="111" customHeight="1">
      <c r="A3" s="62"/>
      <c r="B3" s="62"/>
      <c r="C3" s="64"/>
      <c r="D3" s="9" t="s">
        <v>29</v>
      </c>
      <c r="E3" s="9" t="s">
        <v>30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 t="s">
        <v>31</v>
      </c>
      <c r="M3" s="9">
        <v>10</v>
      </c>
      <c r="N3" s="9" t="s">
        <v>32</v>
      </c>
      <c r="O3" s="9">
        <v>12</v>
      </c>
      <c r="P3" s="9">
        <v>13</v>
      </c>
      <c r="Q3" s="9">
        <v>14</v>
      </c>
      <c r="R3" s="9">
        <v>15</v>
      </c>
      <c r="S3" s="9" t="s">
        <v>33</v>
      </c>
      <c r="T3" s="9">
        <v>17</v>
      </c>
      <c r="U3" s="9">
        <v>18</v>
      </c>
      <c r="V3" s="9">
        <v>19</v>
      </c>
      <c r="W3" s="9">
        <v>20</v>
      </c>
      <c r="X3" s="63"/>
    </row>
    <row r="4" spans="1:29" ht="21.75" customHeight="1">
      <c r="A4" s="62"/>
      <c r="B4" s="62"/>
      <c r="C4" s="58" t="s">
        <v>34</v>
      </c>
      <c r="D4" s="10">
        <v>10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20">
        <f>IF(AND(ISBLANK(D4)=TRUE,ISBLANK(E4)=TRUE,ISBLANK(F4)=TRUE,ISBLANK(G4)=TRUE,ISBLANK(H4)=TRUE,ISBLANK(I4)=TRUE,ISBLANK(J4)=TRUE,ISBLANK(K4)=TRUE,ISBLANK(L4)=TRUE,ISBLANK(M4)=TRUE,ISBLANK(N4)=TRUE,ISBLANK(O4)=TRUE,ISBLANK(P4)=TRUE,ISBLANK(Q4)=TRUE,ISBLANK(R4)=TRUE,ISBLANK(S4)=TRUE,ISBLANK(T4)=TRUE,ISBLANK(U4)=TRUE,ISBLANK(V4)=TRUE,ISBLANK(W4)=TRUE),"",SUM(D4:W4))</f>
        <v>10</v>
      </c>
    </row>
    <row r="5" spans="1:29" ht="26.45">
      <c r="A5" s="26" t="s">
        <v>35</v>
      </c>
      <c r="B5" s="24" t="s">
        <v>36</v>
      </c>
      <c r="C5" s="24" t="s">
        <v>37</v>
      </c>
      <c r="D5" s="13">
        <v>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20">
        <f t="shared" ref="X5:X64" si="0">IF(AND(ISBLANK(D5)=TRUE,ISBLANK(E5)=TRUE,ISBLANK(F5)=TRUE,ISBLANK(G5)=TRUE,ISBLANK(H5)=TRUE,ISBLANK(I5)=TRUE,ISBLANK(J5)=TRUE,ISBLANK(K5)=TRUE,ISBLANK(L5)=TRUE,ISBLANK(M5)=TRUE,ISBLANK(N5)=TRUE,ISBLANK(O5)=TRUE,ISBLANK(P5)=TRUE,ISBLANK(Q5)=TRUE,ISBLANK(R5)=TRUE,ISBLANK(S5)=TRUE,ISBLANK(T5)=TRUE,ISBLANK(U5)=TRUE,ISBLANK(V5)=TRUE,ISBLANK(W5)=TRUE),"",SUM(D5:W5))</f>
        <v>1</v>
      </c>
      <c r="Y5" s="40"/>
      <c r="AC5" s="22"/>
    </row>
    <row r="6" spans="1:29">
      <c r="A6" s="26" t="s">
        <v>30</v>
      </c>
      <c r="B6" s="24" t="s">
        <v>38</v>
      </c>
      <c r="C6" s="24" t="s">
        <v>39</v>
      </c>
      <c r="D6" s="13">
        <v>2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20">
        <f t="shared" si="0"/>
        <v>2</v>
      </c>
    </row>
    <row r="7" spans="1:29">
      <c r="A7" s="26" t="s">
        <v>40</v>
      </c>
      <c r="B7" s="24" t="s">
        <v>41</v>
      </c>
      <c r="C7" s="24" t="s">
        <v>42</v>
      </c>
      <c r="D7" s="13">
        <v>3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20">
        <f t="shared" si="0"/>
        <v>3</v>
      </c>
    </row>
    <row r="8" spans="1:29">
      <c r="A8" s="26" t="s">
        <v>43</v>
      </c>
      <c r="B8" s="24"/>
      <c r="C8" s="2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20" t="str">
        <f t="shared" si="0"/>
        <v/>
      </c>
    </row>
    <row r="9" spans="1:29">
      <c r="A9" s="26" t="s">
        <v>44</v>
      </c>
      <c r="B9" s="24"/>
      <c r="C9" s="2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20" t="str">
        <f t="shared" si="0"/>
        <v/>
      </c>
    </row>
    <row r="10" spans="1:29">
      <c r="A10" s="26" t="s">
        <v>45</v>
      </c>
      <c r="B10" s="24"/>
      <c r="C10" s="2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20" t="str">
        <f t="shared" si="0"/>
        <v/>
      </c>
    </row>
    <row r="11" spans="1:29">
      <c r="A11" s="26" t="s">
        <v>46</v>
      </c>
      <c r="B11" s="24"/>
      <c r="C11" s="2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20" t="str">
        <f t="shared" si="0"/>
        <v/>
      </c>
    </row>
    <row r="12" spans="1:29">
      <c r="A12" s="26" t="s">
        <v>47</v>
      </c>
      <c r="B12" s="24"/>
      <c r="C12" s="2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20" t="str">
        <f t="shared" si="0"/>
        <v/>
      </c>
    </row>
    <row r="13" spans="1:29">
      <c r="A13" s="26" t="s">
        <v>31</v>
      </c>
      <c r="B13" s="24"/>
      <c r="C13" s="2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20" t="str">
        <f t="shared" si="0"/>
        <v/>
      </c>
    </row>
    <row r="14" spans="1:29">
      <c r="A14" s="26" t="s">
        <v>48</v>
      </c>
      <c r="B14" s="24"/>
      <c r="C14" s="2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20" t="str">
        <f t="shared" si="0"/>
        <v/>
      </c>
    </row>
    <row r="15" spans="1:29">
      <c r="A15" s="26" t="s">
        <v>32</v>
      </c>
      <c r="B15" s="24"/>
      <c r="C15" s="2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20" t="str">
        <f t="shared" si="0"/>
        <v/>
      </c>
    </row>
    <row r="16" spans="1:29">
      <c r="A16" s="26" t="s">
        <v>49</v>
      </c>
      <c r="B16" s="24"/>
      <c r="C16" s="2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20" t="str">
        <f t="shared" si="0"/>
        <v/>
      </c>
    </row>
    <row r="17" spans="1:24">
      <c r="A17" s="26" t="s">
        <v>50</v>
      </c>
      <c r="B17" s="24"/>
      <c r="C17" s="2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20" t="str">
        <f t="shared" si="0"/>
        <v/>
      </c>
    </row>
    <row r="18" spans="1:24">
      <c r="A18" s="26" t="s">
        <v>51</v>
      </c>
      <c r="B18" s="24"/>
      <c r="C18" s="2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20" t="str">
        <f t="shared" si="0"/>
        <v/>
      </c>
    </row>
    <row r="19" spans="1:24">
      <c r="A19" s="26" t="s">
        <v>52</v>
      </c>
      <c r="B19" s="24"/>
      <c r="C19" s="2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20" t="str">
        <f t="shared" si="0"/>
        <v/>
      </c>
    </row>
    <row r="20" spans="1:24">
      <c r="A20" s="26" t="s">
        <v>33</v>
      </c>
      <c r="B20" s="24"/>
      <c r="C20" s="2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20" t="str">
        <f t="shared" si="0"/>
        <v/>
      </c>
    </row>
    <row r="21" spans="1:24">
      <c r="A21" s="26" t="s">
        <v>53</v>
      </c>
      <c r="B21" s="24"/>
      <c r="C21" s="2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20" t="str">
        <f t="shared" si="0"/>
        <v/>
      </c>
    </row>
    <row r="22" spans="1:24">
      <c r="A22" s="26" t="s">
        <v>54</v>
      </c>
      <c r="B22" s="24"/>
      <c r="C22" s="2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20" t="str">
        <f t="shared" si="0"/>
        <v/>
      </c>
    </row>
    <row r="23" spans="1:24">
      <c r="A23" s="26" t="s">
        <v>55</v>
      </c>
      <c r="B23" s="24"/>
      <c r="C23" s="2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20" t="str">
        <f t="shared" si="0"/>
        <v/>
      </c>
    </row>
    <row r="24" spans="1:24">
      <c r="A24" s="26" t="s">
        <v>56</v>
      </c>
      <c r="B24" s="24"/>
      <c r="C24" s="2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20" t="str">
        <f t="shared" si="0"/>
        <v/>
      </c>
    </row>
    <row r="25" spans="1:24">
      <c r="A25" s="26" t="s">
        <v>57</v>
      </c>
      <c r="B25" s="24"/>
      <c r="C25" s="2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20" t="str">
        <f t="shared" si="0"/>
        <v/>
      </c>
    </row>
    <row r="26" spans="1:24">
      <c r="A26" s="26" t="s">
        <v>58</v>
      </c>
      <c r="B26" s="24"/>
      <c r="C26" s="2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20" t="str">
        <f t="shared" si="0"/>
        <v/>
      </c>
    </row>
    <row r="27" spans="1:24">
      <c r="A27" s="26" t="s">
        <v>59</v>
      </c>
      <c r="B27" s="24"/>
      <c r="C27" s="2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20" t="str">
        <f t="shared" si="0"/>
        <v/>
      </c>
    </row>
    <row r="28" spans="1:24">
      <c r="A28" s="26" t="s">
        <v>60</v>
      </c>
      <c r="B28" s="24"/>
      <c r="C28" s="2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20" t="str">
        <f t="shared" si="0"/>
        <v/>
      </c>
    </row>
    <row r="29" spans="1:24">
      <c r="A29" s="26" t="s">
        <v>61</v>
      </c>
      <c r="B29" s="24"/>
      <c r="C29" s="2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20" t="str">
        <f t="shared" si="0"/>
        <v/>
      </c>
    </row>
    <row r="30" spans="1:24">
      <c r="A30" s="26" t="s">
        <v>62</v>
      </c>
      <c r="B30" s="24"/>
      <c r="C30" s="2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20" t="str">
        <f t="shared" si="0"/>
        <v/>
      </c>
    </row>
    <row r="31" spans="1:24">
      <c r="A31" s="26" t="s">
        <v>63</v>
      </c>
      <c r="B31" s="24"/>
      <c r="C31" s="2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20" t="str">
        <f t="shared" si="0"/>
        <v/>
      </c>
    </row>
    <row r="32" spans="1:24">
      <c r="A32" s="26" t="s">
        <v>64</v>
      </c>
      <c r="B32" s="24"/>
      <c r="C32" s="2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20" t="str">
        <f t="shared" si="0"/>
        <v/>
      </c>
    </row>
    <row r="33" spans="1:24">
      <c r="A33" s="26" t="s">
        <v>65</v>
      </c>
      <c r="B33" s="24"/>
      <c r="C33" s="2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20" t="str">
        <f t="shared" si="0"/>
        <v/>
      </c>
    </row>
    <row r="34" spans="1:24">
      <c r="A34" s="26" t="s">
        <v>66</v>
      </c>
      <c r="B34" s="24"/>
      <c r="C34" s="2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20" t="str">
        <f t="shared" si="0"/>
        <v/>
      </c>
    </row>
    <row r="35" spans="1:24">
      <c r="A35" s="26" t="s">
        <v>67</v>
      </c>
      <c r="B35" s="24"/>
      <c r="C35" s="2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20" t="str">
        <f t="shared" si="0"/>
        <v/>
      </c>
    </row>
    <row r="36" spans="1:24">
      <c r="A36" s="26" t="s">
        <v>68</v>
      </c>
      <c r="B36" s="24"/>
      <c r="C36" s="2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20" t="str">
        <f t="shared" si="0"/>
        <v/>
      </c>
    </row>
    <row r="37" spans="1:24">
      <c r="A37" s="26" t="s">
        <v>69</v>
      </c>
      <c r="B37" s="24"/>
      <c r="C37" s="2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20" t="str">
        <f t="shared" si="0"/>
        <v/>
      </c>
    </row>
    <row r="38" spans="1:24">
      <c r="A38" s="26" t="s">
        <v>70</v>
      </c>
      <c r="B38" s="24"/>
      <c r="C38" s="2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20" t="str">
        <f t="shared" si="0"/>
        <v/>
      </c>
    </row>
    <row r="39" spans="1:24">
      <c r="A39" s="26" t="s">
        <v>71</v>
      </c>
      <c r="B39" s="24"/>
      <c r="C39" s="2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0" t="str">
        <f t="shared" si="0"/>
        <v/>
      </c>
    </row>
    <row r="40" spans="1:24">
      <c r="A40" s="26" t="s">
        <v>72</v>
      </c>
      <c r="B40" s="24"/>
      <c r="C40" s="2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20" t="str">
        <f t="shared" si="0"/>
        <v/>
      </c>
    </row>
    <row r="41" spans="1:24">
      <c r="A41" s="26" t="s">
        <v>73</v>
      </c>
      <c r="B41" s="24"/>
      <c r="C41" s="2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20" t="str">
        <f t="shared" si="0"/>
        <v/>
      </c>
    </row>
    <row r="42" spans="1:24">
      <c r="A42" s="26" t="s">
        <v>74</v>
      </c>
      <c r="B42" s="24"/>
      <c r="C42" s="2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20" t="str">
        <f t="shared" si="0"/>
        <v/>
      </c>
    </row>
    <row r="43" spans="1:24">
      <c r="A43" s="26" t="s">
        <v>75</v>
      </c>
      <c r="B43" s="24"/>
      <c r="C43" s="2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20" t="str">
        <f t="shared" si="0"/>
        <v/>
      </c>
    </row>
    <row r="44" spans="1:24">
      <c r="A44" s="26" t="s">
        <v>76</v>
      </c>
      <c r="B44" s="24"/>
      <c r="C44" s="2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20" t="str">
        <f t="shared" si="0"/>
        <v/>
      </c>
    </row>
    <row r="45" spans="1:24">
      <c r="A45" s="26" t="s">
        <v>77</v>
      </c>
      <c r="B45" s="24"/>
      <c r="C45" s="2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20" t="str">
        <f t="shared" si="0"/>
        <v/>
      </c>
    </row>
    <row r="46" spans="1:24">
      <c r="A46" s="26" t="s">
        <v>78</v>
      </c>
      <c r="B46" s="24"/>
      <c r="C46" s="2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20" t="str">
        <f t="shared" si="0"/>
        <v/>
      </c>
    </row>
    <row r="47" spans="1:24">
      <c r="A47" s="26" t="s">
        <v>79</v>
      </c>
      <c r="B47" s="24"/>
      <c r="C47" s="2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20" t="str">
        <f t="shared" si="0"/>
        <v/>
      </c>
    </row>
    <row r="48" spans="1:24">
      <c r="A48" s="26" t="s">
        <v>80</v>
      </c>
      <c r="B48" s="24"/>
      <c r="C48" s="2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20" t="str">
        <f t="shared" si="0"/>
        <v/>
      </c>
    </row>
    <row r="49" spans="1:24">
      <c r="A49" s="26" t="s">
        <v>81</v>
      </c>
      <c r="B49" s="24"/>
      <c r="C49" s="2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20" t="str">
        <f t="shared" si="0"/>
        <v/>
      </c>
    </row>
    <row r="50" spans="1:24">
      <c r="A50" s="26" t="s">
        <v>82</v>
      </c>
      <c r="B50" s="24"/>
      <c r="C50" s="2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20" t="str">
        <f t="shared" si="0"/>
        <v/>
      </c>
    </row>
    <row r="51" spans="1:24">
      <c r="A51" s="26" t="s">
        <v>83</v>
      </c>
      <c r="B51" s="24"/>
      <c r="C51" s="2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20" t="str">
        <f t="shared" si="0"/>
        <v/>
      </c>
    </row>
    <row r="52" spans="1:24">
      <c r="A52" s="26" t="s">
        <v>84</v>
      </c>
      <c r="B52" s="24"/>
      <c r="C52" s="2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20" t="str">
        <f t="shared" si="0"/>
        <v/>
      </c>
    </row>
    <row r="53" spans="1:24">
      <c r="A53" s="26" t="s">
        <v>85</v>
      </c>
      <c r="B53" s="24"/>
      <c r="C53" s="2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20" t="str">
        <f t="shared" si="0"/>
        <v/>
      </c>
    </row>
    <row r="54" spans="1:24">
      <c r="A54" s="26" t="s">
        <v>86</v>
      </c>
      <c r="B54" s="24"/>
      <c r="C54" s="2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20" t="str">
        <f t="shared" si="0"/>
        <v/>
      </c>
    </row>
    <row r="55" spans="1:24">
      <c r="A55" s="26" t="s">
        <v>87</v>
      </c>
      <c r="B55" s="30"/>
      <c r="C55" s="30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20" t="str">
        <f t="shared" si="0"/>
        <v/>
      </c>
    </row>
    <row r="56" spans="1:24">
      <c r="A56" s="26" t="s">
        <v>88</v>
      </c>
      <c r="B56" s="30"/>
      <c r="C56" s="3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20" t="str">
        <f t="shared" si="0"/>
        <v/>
      </c>
    </row>
    <row r="57" spans="1:24">
      <c r="A57" s="26" t="s">
        <v>89</v>
      </c>
      <c r="B57" s="30"/>
      <c r="C57" s="30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20" t="str">
        <f t="shared" si="0"/>
        <v/>
      </c>
    </row>
    <row r="58" spans="1:24">
      <c r="A58" s="26" t="s">
        <v>90</v>
      </c>
      <c r="B58" s="30"/>
      <c r="C58" s="30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20" t="str">
        <f t="shared" si="0"/>
        <v/>
      </c>
    </row>
    <row r="59" spans="1:24">
      <c r="A59" s="26" t="s">
        <v>91</v>
      </c>
      <c r="B59" s="30"/>
      <c r="C59" s="30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20" t="str">
        <f t="shared" si="0"/>
        <v/>
      </c>
    </row>
    <row r="60" spans="1:24">
      <c r="A60" s="26" t="s">
        <v>92</v>
      </c>
      <c r="B60" s="30"/>
      <c r="C60" s="3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20" t="str">
        <f t="shared" si="0"/>
        <v/>
      </c>
    </row>
    <row r="61" spans="1:24">
      <c r="A61" s="26" t="s">
        <v>93</v>
      </c>
      <c r="B61" s="30"/>
      <c r="C61" s="3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20" t="str">
        <f t="shared" si="0"/>
        <v/>
      </c>
    </row>
    <row r="62" spans="1:24">
      <c r="A62" s="26" t="s">
        <v>94</v>
      </c>
      <c r="B62" s="30"/>
      <c r="C62" s="30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20" t="str">
        <f t="shared" si="0"/>
        <v/>
      </c>
    </row>
    <row r="63" spans="1:24">
      <c r="A63" s="26" t="s">
        <v>95</v>
      </c>
      <c r="B63" s="30"/>
      <c r="C63" s="3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20" t="str">
        <f t="shared" si="0"/>
        <v/>
      </c>
    </row>
    <row r="64" spans="1:24">
      <c r="A64" s="26" t="s">
        <v>96</v>
      </c>
      <c r="B64" s="30"/>
      <c r="C64" s="30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20" t="str">
        <f t="shared" si="0"/>
        <v/>
      </c>
    </row>
    <row r="65" spans="1:3">
      <c r="A65" s="2"/>
      <c r="C65" s="1"/>
    </row>
    <row r="66" spans="1:3">
      <c r="A66" s="2"/>
      <c r="C66" s="1"/>
    </row>
  </sheetData>
  <sheetProtection algorithmName="SHA-512" hashValue="jerFmytNlwj4/GP50K5EAn2F+NwZ1gFR4afYR0IcGnbPSI9LedVc3knr2KLoMCRdJAP5/pYAFURSHpfcrRBvCA==" saltValue="bGa06LX9Ly81C9fTn94ZTA==" spinCount="100000" sheet="1" selectLockedCells="1"/>
  <dataConsolidate/>
  <mergeCells count="6">
    <mergeCell ref="A2:A4"/>
    <mergeCell ref="A1:X1"/>
    <mergeCell ref="X2:X3"/>
    <mergeCell ref="C2:C3"/>
    <mergeCell ref="B2:B4"/>
    <mergeCell ref="D2:W2"/>
  </mergeCells>
  <phoneticPr fontId="12" type="noConversion"/>
  <dataValidations xWindow="268" yWindow="476" count="2">
    <dataValidation type="whole" allowBlank="1" showInputMessage="1" showErrorMessage="1" error="1. คะแนนเต็มต้องอยู่ระหว่าง 0-999 เท่านั้น_x000a_2. ระบุเป็นตัวเลขได้เท่านั้น" sqref="D4:W4" xr:uid="{A715BB5C-50AF-4846-9710-C6EF8E15DA14}">
      <formula1>0</formula1>
      <formula2>999</formula2>
    </dataValidation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W64" xr:uid="{BE93CF0D-65CF-49B9-9611-B8C80219704B}">
      <formula1>D$4</formula1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FCE7-3F2B-47A9-9568-C8B080642B04}">
  <sheetPr>
    <tabColor rgb="FF68CBFC"/>
  </sheetPr>
  <dimension ref="A1:R64"/>
  <sheetViews>
    <sheetView workbookViewId="0">
      <pane xSplit="3" ySplit="4" topLeftCell="D5" activePane="bottomRight" state="frozen"/>
      <selection pane="bottomRight" activeCell="D4" sqref="D4"/>
      <selection pane="bottomLeft" activeCell="A5" sqref="A5"/>
      <selection pane="topRight" activeCell="C1" sqref="C1"/>
    </sheetView>
  </sheetViews>
  <sheetFormatPr defaultColWidth="9.28515625" defaultRowHeight="24"/>
  <cols>
    <col min="1" max="1" width="5.7109375" style="23" customWidth="1"/>
    <col min="2" max="2" width="9.28515625" style="2" customWidth="1"/>
    <col min="3" max="3" width="31.42578125" style="2" customWidth="1"/>
    <col min="4" max="14" width="5" style="1" customWidth="1"/>
    <col min="15" max="16" width="9.28515625" style="1"/>
    <col min="17" max="17" width="9.28515625" style="1" customWidth="1"/>
    <col min="18" max="16384" width="9.28515625" style="1"/>
  </cols>
  <sheetData>
    <row r="1" spans="1:18">
      <c r="A1" s="68" t="s">
        <v>97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2.5" customHeight="1">
      <c r="A2" s="62" t="s">
        <v>24</v>
      </c>
      <c r="B2" s="62" t="s">
        <v>25</v>
      </c>
      <c r="C2" s="64" t="s">
        <v>26</v>
      </c>
      <c r="D2" s="69" t="s">
        <v>98</v>
      </c>
      <c r="E2" s="69"/>
      <c r="F2" s="69"/>
      <c r="G2" s="69"/>
      <c r="H2" s="69"/>
      <c r="I2" s="69"/>
      <c r="J2" s="69"/>
      <c r="K2" s="69"/>
      <c r="L2" s="69"/>
      <c r="M2" s="69"/>
      <c r="N2" s="69" t="s">
        <v>28</v>
      </c>
      <c r="O2" s="17"/>
      <c r="P2" s="17"/>
      <c r="Q2" s="17"/>
      <c r="R2" s="17"/>
    </row>
    <row r="3" spans="1:18" ht="110.25" customHeight="1">
      <c r="A3" s="62"/>
      <c r="B3" s="62"/>
      <c r="C3" s="64"/>
      <c r="D3" s="9" t="s">
        <v>35</v>
      </c>
      <c r="E3" s="9" t="s">
        <v>30</v>
      </c>
      <c r="F3" s="18" t="s">
        <v>40</v>
      </c>
      <c r="G3" s="9">
        <v>4</v>
      </c>
      <c r="H3" s="9" t="s">
        <v>44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69"/>
      <c r="O3" s="17"/>
      <c r="P3" s="17"/>
      <c r="Q3" s="17"/>
      <c r="R3" s="17"/>
    </row>
    <row r="4" spans="1:18" ht="21.75" customHeight="1">
      <c r="A4" s="62"/>
      <c r="B4" s="62"/>
      <c r="C4" s="58" t="s">
        <v>34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54" t="str">
        <f t="shared" ref="N4:N5" si="0">IF(AND(ISBLANK(D4)=TRUE,ISBLANK(E4)=TRUE,ISBLANK(F4)=TRUE,ISBLANK(G4)=TRUE,ISBLANK(H4)=TRUE,ISBLANK(I4)=TRUE,ISBLANK(J4)=TRUE,ISBLANK(K4)=TRUE,ISBLANK(L4)=TRUE,ISBLANK(M4)=TRUE),"",SUM(D4:M4))</f>
        <v/>
      </c>
      <c r="O4" s="17"/>
      <c r="P4" s="17"/>
      <c r="Q4" s="17"/>
      <c r="R4" s="17"/>
    </row>
    <row r="5" spans="1:18">
      <c r="A5" s="26" t="str">
        <f>คะแนนเก็บ!A5</f>
        <v>1</v>
      </c>
      <c r="B5" s="25" t="str">
        <f>คะแนนเก็บ!B5</f>
        <v>123</v>
      </c>
      <c r="C5" s="25" t="str">
        <f>คะแนนเก็บ!C5</f>
        <v>เด็กชายจับจ่าย รักโรงเรียน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54" t="str">
        <f t="shared" si="0"/>
        <v/>
      </c>
      <c r="O5" s="17"/>
      <c r="P5" s="17"/>
      <c r="Q5" s="17"/>
      <c r="R5" s="17"/>
    </row>
    <row r="6" spans="1:18">
      <c r="A6" s="26" t="str">
        <f>คะแนนเก็บ!A6</f>
        <v>2</v>
      </c>
      <c r="B6" s="25" t="str">
        <f>คะแนนเก็บ!B6</f>
        <v>456</v>
      </c>
      <c r="C6" s="25" t="str">
        <f>คะแนนเก็บ!C6</f>
        <v>เด็กชายสคูล ไบร์ท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54" t="str">
        <f>IF(AND(ISBLANK(D6)=TRUE,ISBLANK(E6)=TRUE,ISBLANK(F6)=TRUE,ISBLANK(G6)=TRUE,ISBLANK(H6)=TRUE,ISBLANK(I6)=TRUE,ISBLANK(J6)=TRUE,ISBLANK(K6)=TRUE,ISBLANK(L6)=TRUE,ISBLANK(M6)=TRUE),"",SUM(D6:M6))</f>
        <v/>
      </c>
      <c r="O6" s="12"/>
      <c r="P6" s="12"/>
      <c r="Q6" s="17"/>
      <c r="R6" s="17"/>
    </row>
    <row r="7" spans="1:18">
      <c r="A7" s="26" t="str">
        <f>คะแนนเก็บ!A7</f>
        <v>3</v>
      </c>
      <c r="B7" s="25" t="str">
        <f>คะแนนเก็บ!B7</f>
        <v>A123</v>
      </c>
      <c r="C7" s="25" t="str">
        <f>คะแนนเก็บ!C7</f>
        <v>เด็กหญิงน้ำเพชร ใจดี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54" t="str">
        <f t="shared" ref="N7:N64" si="1">IF(AND(ISBLANK(D7)=TRUE,ISBLANK(E7)=TRUE,ISBLANK(F7)=TRUE,ISBLANK(G7)=TRUE,ISBLANK(H7)=TRUE,ISBLANK(I7)=TRUE,ISBLANK(J7)=TRUE,ISBLANK(K7)=TRUE,ISBLANK(L7)=TRUE,ISBLANK(M7)=TRUE),"",SUM(D7:M7))</f>
        <v/>
      </c>
      <c r="O7" s="17"/>
      <c r="P7" s="17"/>
      <c r="Q7" s="17"/>
      <c r="R7" s="17"/>
    </row>
    <row r="8" spans="1:18">
      <c r="A8" s="26" t="str">
        <f>คะแนนเก็บ!A8</f>
        <v>4</v>
      </c>
      <c r="B8" s="25">
        <f>คะแนนเก็บ!B8</f>
        <v>0</v>
      </c>
      <c r="C8" s="25">
        <f>คะแนนเก็บ!C8</f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54" t="str">
        <f t="shared" si="1"/>
        <v/>
      </c>
      <c r="O8" s="17"/>
      <c r="P8" s="17"/>
      <c r="Q8" s="17"/>
      <c r="R8" s="17"/>
    </row>
    <row r="9" spans="1:18">
      <c r="A9" s="26" t="str">
        <f>คะแนนเก็บ!A9</f>
        <v>5</v>
      </c>
      <c r="B9" s="25">
        <f>คะแนนเก็บ!B9</f>
        <v>0</v>
      </c>
      <c r="C9" s="25">
        <f>คะแนนเก็บ!C9</f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54" t="str">
        <f t="shared" si="1"/>
        <v/>
      </c>
      <c r="O9" s="17"/>
      <c r="P9" s="17"/>
      <c r="Q9" s="17"/>
      <c r="R9" s="17"/>
    </row>
    <row r="10" spans="1:18">
      <c r="A10" s="26" t="str">
        <f>คะแนนเก็บ!A10</f>
        <v>6</v>
      </c>
      <c r="B10" s="25">
        <f>คะแนนเก็บ!B10</f>
        <v>0</v>
      </c>
      <c r="C10" s="25">
        <f>คะแนนเก็บ!C10</f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4" t="str">
        <f t="shared" si="1"/>
        <v/>
      </c>
      <c r="O10" s="17"/>
      <c r="P10" s="17"/>
      <c r="Q10" s="17"/>
      <c r="R10" s="17"/>
    </row>
    <row r="11" spans="1:18">
      <c r="A11" s="26" t="str">
        <f>คะแนนเก็บ!A11</f>
        <v>7</v>
      </c>
      <c r="B11" s="25">
        <f>คะแนนเก็บ!B11</f>
        <v>0</v>
      </c>
      <c r="C11" s="25">
        <f>คะแนนเก็บ!C11</f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54" t="str">
        <f t="shared" si="1"/>
        <v/>
      </c>
      <c r="O11" s="17"/>
      <c r="P11" s="17"/>
      <c r="Q11" s="17"/>
      <c r="R11" s="17"/>
    </row>
    <row r="12" spans="1:18">
      <c r="A12" s="26" t="str">
        <f>คะแนนเก็บ!A12</f>
        <v>8</v>
      </c>
      <c r="B12" s="25">
        <f>คะแนนเก็บ!B12</f>
        <v>0</v>
      </c>
      <c r="C12" s="25">
        <f>คะแนนเก็บ!C12</f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54" t="str">
        <f t="shared" si="1"/>
        <v/>
      </c>
      <c r="O12" s="17"/>
      <c r="P12" s="17"/>
      <c r="Q12" s="17"/>
      <c r="R12" s="17"/>
    </row>
    <row r="13" spans="1:18">
      <c r="A13" s="26" t="str">
        <f>คะแนนเก็บ!A13</f>
        <v>9</v>
      </c>
      <c r="B13" s="25">
        <f>คะแนนเก็บ!B13</f>
        <v>0</v>
      </c>
      <c r="C13" s="25">
        <f>คะแนนเก็บ!C13</f>
        <v>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54" t="str">
        <f t="shared" si="1"/>
        <v/>
      </c>
      <c r="O13" s="17"/>
      <c r="P13" s="17"/>
      <c r="Q13" s="17"/>
      <c r="R13" s="17"/>
    </row>
    <row r="14" spans="1:18">
      <c r="A14" s="26" t="str">
        <f>คะแนนเก็บ!A14</f>
        <v>10</v>
      </c>
      <c r="B14" s="25">
        <f>คะแนนเก็บ!B14</f>
        <v>0</v>
      </c>
      <c r="C14" s="25">
        <f>คะแนนเก็บ!C14</f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54" t="str">
        <f t="shared" si="1"/>
        <v/>
      </c>
      <c r="O14" s="17"/>
      <c r="P14" s="17"/>
      <c r="Q14" s="17"/>
      <c r="R14" s="17"/>
    </row>
    <row r="15" spans="1:18">
      <c r="A15" s="26" t="str">
        <f>คะแนนเก็บ!A15</f>
        <v>11</v>
      </c>
      <c r="B15" s="25">
        <f>คะแนนเก็บ!B15</f>
        <v>0</v>
      </c>
      <c r="C15" s="25">
        <f>คะแนนเก็บ!C15</f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54" t="str">
        <f t="shared" si="1"/>
        <v/>
      </c>
      <c r="O15" s="17"/>
      <c r="P15" s="17"/>
      <c r="Q15" s="17"/>
      <c r="R15" s="17"/>
    </row>
    <row r="16" spans="1:18">
      <c r="A16" s="26" t="str">
        <f>คะแนนเก็บ!A16</f>
        <v>12</v>
      </c>
      <c r="B16" s="25">
        <f>คะแนนเก็บ!B16</f>
        <v>0</v>
      </c>
      <c r="C16" s="25">
        <f>คะแนนเก็บ!C16</f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54" t="str">
        <f t="shared" si="1"/>
        <v/>
      </c>
      <c r="O16" s="17"/>
      <c r="P16" s="17"/>
      <c r="Q16" s="17"/>
      <c r="R16" s="17"/>
    </row>
    <row r="17" spans="1:18">
      <c r="A17" s="26" t="str">
        <f>คะแนนเก็บ!A17</f>
        <v>13</v>
      </c>
      <c r="B17" s="25">
        <f>คะแนนเก็บ!B17</f>
        <v>0</v>
      </c>
      <c r="C17" s="25">
        <f>คะแนนเก็บ!C17</f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54" t="str">
        <f t="shared" si="1"/>
        <v/>
      </c>
      <c r="O17" s="17"/>
      <c r="P17" s="17"/>
      <c r="Q17" s="17"/>
      <c r="R17" s="17"/>
    </row>
    <row r="18" spans="1:18">
      <c r="A18" s="26" t="str">
        <f>คะแนนเก็บ!A18</f>
        <v>14</v>
      </c>
      <c r="B18" s="25">
        <f>คะแนนเก็บ!B18</f>
        <v>0</v>
      </c>
      <c r="C18" s="25">
        <f>คะแนนเก็บ!C18</f>
        <v>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54" t="str">
        <f t="shared" si="1"/>
        <v/>
      </c>
      <c r="O18" s="17"/>
      <c r="P18" s="17"/>
      <c r="Q18" s="17"/>
      <c r="R18" s="17"/>
    </row>
    <row r="19" spans="1:18">
      <c r="A19" s="26" t="str">
        <f>คะแนนเก็บ!A19</f>
        <v>15</v>
      </c>
      <c r="B19" s="25">
        <f>คะแนนเก็บ!B19</f>
        <v>0</v>
      </c>
      <c r="C19" s="25">
        <f>คะแนนเก็บ!C19</f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54" t="str">
        <f t="shared" si="1"/>
        <v/>
      </c>
      <c r="O19" s="17"/>
      <c r="P19" s="17"/>
      <c r="Q19" s="17"/>
      <c r="R19" s="17"/>
    </row>
    <row r="20" spans="1:18">
      <c r="A20" s="26" t="str">
        <f>คะแนนเก็บ!A20</f>
        <v>16</v>
      </c>
      <c r="B20" s="25">
        <f>คะแนนเก็บ!B20</f>
        <v>0</v>
      </c>
      <c r="C20" s="25">
        <f>คะแนนเก็บ!C20</f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54" t="str">
        <f t="shared" si="1"/>
        <v/>
      </c>
      <c r="O20" s="17"/>
      <c r="P20" s="17"/>
      <c r="Q20" s="17"/>
      <c r="R20" s="17"/>
    </row>
    <row r="21" spans="1:18">
      <c r="A21" s="26" t="str">
        <f>คะแนนเก็บ!A21</f>
        <v>17</v>
      </c>
      <c r="B21" s="25">
        <f>คะแนนเก็บ!B21</f>
        <v>0</v>
      </c>
      <c r="C21" s="25">
        <f>คะแนนเก็บ!C21</f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54" t="str">
        <f t="shared" si="1"/>
        <v/>
      </c>
      <c r="O21" s="17"/>
      <c r="P21" s="17"/>
      <c r="Q21" s="17"/>
      <c r="R21" s="17"/>
    </row>
    <row r="22" spans="1:18">
      <c r="A22" s="26" t="str">
        <f>คะแนนเก็บ!A22</f>
        <v>18</v>
      </c>
      <c r="B22" s="25">
        <f>คะแนนเก็บ!B22</f>
        <v>0</v>
      </c>
      <c r="C22" s="25">
        <f>คะแนนเก็บ!C22</f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54" t="str">
        <f t="shared" si="1"/>
        <v/>
      </c>
      <c r="O22" s="17"/>
      <c r="P22" s="17"/>
      <c r="Q22" s="17"/>
      <c r="R22" s="17"/>
    </row>
    <row r="23" spans="1:18">
      <c r="A23" s="26" t="str">
        <f>คะแนนเก็บ!A23</f>
        <v>19</v>
      </c>
      <c r="B23" s="25">
        <f>คะแนนเก็บ!B23</f>
        <v>0</v>
      </c>
      <c r="C23" s="25">
        <f>คะแนนเก็บ!C23</f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54" t="str">
        <f t="shared" si="1"/>
        <v/>
      </c>
      <c r="O23" s="17"/>
      <c r="P23" s="17"/>
      <c r="Q23" s="17"/>
      <c r="R23" s="17"/>
    </row>
    <row r="24" spans="1:18">
      <c r="A24" s="26" t="str">
        <f>คะแนนเก็บ!A24</f>
        <v>20</v>
      </c>
      <c r="B24" s="25">
        <f>คะแนนเก็บ!B24</f>
        <v>0</v>
      </c>
      <c r="C24" s="25">
        <f>คะแนนเก็บ!C24</f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54" t="str">
        <f t="shared" si="1"/>
        <v/>
      </c>
      <c r="O24" s="17"/>
      <c r="P24" s="17"/>
      <c r="Q24" s="17"/>
      <c r="R24" s="17"/>
    </row>
    <row r="25" spans="1:18">
      <c r="A25" s="26" t="str">
        <f>คะแนนเก็บ!A25</f>
        <v>21</v>
      </c>
      <c r="B25" s="25">
        <f>คะแนนเก็บ!B25</f>
        <v>0</v>
      </c>
      <c r="C25" s="25">
        <f>คะแนนเก็บ!C25</f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54" t="str">
        <f t="shared" si="1"/>
        <v/>
      </c>
      <c r="O25" s="17"/>
      <c r="P25" s="17"/>
      <c r="Q25" s="17"/>
      <c r="R25" s="17"/>
    </row>
    <row r="26" spans="1:18">
      <c r="A26" s="26" t="str">
        <f>คะแนนเก็บ!A26</f>
        <v>22</v>
      </c>
      <c r="B26" s="25">
        <f>คะแนนเก็บ!B26</f>
        <v>0</v>
      </c>
      <c r="C26" s="25">
        <f>คะแนนเก็บ!C26</f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54" t="str">
        <f t="shared" si="1"/>
        <v/>
      </c>
      <c r="O26" s="17"/>
      <c r="P26" s="17"/>
      <c r="Q26" s="17"/>
      <c r="R26" s="17"/>
    </row>
    <row r="27" spans="1:18">
      <c r="A27" s="26" t="str">
        <f>คะแนนเก็บ!A27</f>
        <v>23</v>
      </c>
      <c r="B27" s="25">
        <f>คะแนนเก็บ!B27</f>
        <v>0</v>
      </c>
      <c r="C27" s="25">
        <f>คะแนนเก็บ!C27</f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54" t="str">
        <f t="shared" si="1"/>
        <v/>
      </c>
      <c r="O27" s="17"/>
      <c r="P27" s="17"/>
      <c r="Q27" s="17"/>
      <c r="R27" s="17"/>
    </row>
    <row r="28" spans="1:18">
      <c r="A28" s="26" t="str">
        <f>คะแนนเก็บ!A28</f>
        <v>24</v>
      </c>
      <c r="B28" s="25">
        <f>คะแนนเก็บ!B28</f>
        <v>0</v>
      </c>
      <c r="C28" s="25">
        <f>คะแนนเก็บ!C28</f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54" t="str">
        <f t="shared" si="1"/>
        <v/>
      </c>
      <c r="O28" s="17"/>
      <c r="P28" s="17"/>
      <c r="Q28" s="17"/>
      <c r="R28" s="17"/>
    </row>
    <row r="29" spans="1:18">
      <c r="A29" s="26" t="str">
        <f>คะแนนเก็บ!A29</f>
        <v>25</v>
      </c>
      <c r="B29" s="25">
        <f>คะแนนเก็บ!B29</f>
        <v>0</v>
      </c>
      <c r="C29" s="25">
        <f>คะแนนเก็บ!C29</f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54" t="str">
        <f t="shared" si="1"/>
        <v/>
      </c>
      <c r="O29" s="17"/>
      <c r="P29" s="17"/>
      <c r="Q29" s="17"/>
      <c r="R29" s="17"/>
    </row>
    <row r="30" spans="1:18">
      <c r="A30" s="26" t="str">
        <f>คะแนนเก็บ!A30</f>
        <v>26</v>
      </c>
      <c r="B30" s="25">
        <f>คะแนนเก็บ!B30</f>
        <v>0</v>
      </c>
      <c r="C30" s="25">
        <f>คะแนนเก็บ!C30</f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54" t="str">
        <f t="shared" si="1"/>
        <v/>
      </c>
      <c r="O30" s="17"/>
      <c r="P30" s="17"/>
      <c r="Q30" s="17"/>
      <c r="R30" s="17"/>
    </row>
    <row r="31" spans="1:18">
      <c r="A31" s="26" t="str">
        <f>คะแนนเก็บ!A31</f>
        <v>27</v>
      </c>
      <c r="B31" s="25">
        <f>คะแนนเก็บ!B31</f>
        <v>0</v>
      </c>
      <c r="C31" s="25">
        <f>คะแนนเก็บ!C31</f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54" t="str">
        <f t="shared" si="1"/>
        <v/>
      </c>
      <c r="O31" s="17"/>
      <c r="P31" s="17"/>
      <c r="Q31" s="17"/>
      <c r="R31" s="17"/>
    </row>
    <row r="32" spans="1:18">
      <c r="A32" s="26" t="str">
        <f>คะแนนเก็บ!A32</f>
        <v>28</v>
      </c>
      <c r="B32" s="25">
        <f>คะแนนเก็บ!B32</f>
        <v>0</v>
      </c>
      <c r="C32" s="25">
        <f>คะแนนเก็บ!C32</f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54" t="str">
        <f t="shared" si="1"/>
        <v/>
      </c>
      <c r="O32" s="17"/>
      <c r="P32" s="17"/>
      <c r="Q32" s="17"/>
      <c r="R32" s="17"/>
    </row>
    <row r="33" spans="1:18">
      <c r="A33" s="26" t="str">
        <f>คะแนนเก็บ!A33</f>
        <v>29</v>
      </c>
      <c r="B33" s="25">
        <f>คะแนนเก็บ!B33</f>
        <v>0</v>
      </c>
      <c r="C33" s="25">
        <f>คะแนนเก็บ!C33</f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54" t="str">
        <f t="shared" si="1"/>
        <v/>
      </c>
      <c r="O33" s="17"/>
      <c r="P33" s="17"/>
      <c r="Q33" s="17"/>
      <c r="R33" s="17"/>
    </row>
    <row r="34" spans="1:18">
      <c r="A34" s="26" t="str">
        <f>คะแนนเก็บ!A34</f>
        <v>30</v>
      </c>
      <c r="B34" s="25">
        <f>คะแนนเก็บ!B34</f>
        <v>0</v>
      </c>
      <c r="C34" s="25">
        <f>คะแนนเก็บ!C34</f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54" t="str">
        <f t="shared" si="1"/>
        <v/>
      </c>
      <c r="O34" s="17"/>
      <c r="P34" s="17"/>
      <c r="Q34" s="17"/>
      <c r="R34" s="17"/>
    </row>
    <row r="35" spans="1:18">
      <c r="A35" s="26" t="str">
        <f>คะแนนเก็บ!A35</f>
        <v>31</v>
      </c>
      <c r="B35" s="25">
        <f>คะแนนเก็บ!B35</f>
        <v>0</v>
      </c>
      <c r="C35" s="25">
        <f>คะแนนเก็บ!C35</f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54" t="str">
        <f t="shared" si="1"/>
        <v/>
      </c>
      <c r="O35" s="17"/>
      <c r="P35" s="17"/>
      <c r="Q35" s="17"/>
      <c r="R35" s="17"/>
    </row>
    <row r="36" spans="1:18">
      <c r="A36" s="26" t="str">
        <f>คะแนนเก็บ!A36</f>
        <v>32</v>
      </c>
      <c r="B36" s="25">
        <f>คะแนนเก็บ!B36</f>
        <v>0</v>
      </c>
      <c r="C36" s="25">
        <f>คะแนนเก็บ!C36</f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54" t="str">
        <f t="shared" si="1"/>
        <v/>
      </c>
      <c r="O36" s="17"/>
      <c r="P36" s="17"/>
      <c r="Q36" s="17"/>
      <c r="R36" s="17"/>
    </row>
    <row r="37" spans="1:18">
      <c r="A37" s="26" t="str">
        <f>คะแนนเก็บ!A37</f>
        <v>33</v>
      </c>
      <c r="B37" s="25">
        <f>คะแนนเก็บ!B37</f>
        <v>0</v>
      </c>
      <c r="C37" s="25">
        <f>คะแนนเก็บ!C37</f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54" t="str">
        <f t="shared" si="1"/>
        <v/>
      </c>
      <c r="O37" s="17"/>
      <c r="P37" s="17"/>
      <c r="Q37" s="17"/>
      <c r="R37" s="17"/>
    </row>
    <row r="38" spans="1:18">
      <c r="A38" s="26" t="str">
        <f>คะแนนเก็บ!A38</f>
        <v>34</v>
      </c>
      <c r="B38" s="25">
        <f>คะแนนเก็บ!B38</f>
        <v>0</v>
      </c>
      <c r="C38" s="25">
        <f>คะแนนเก็บ!C38</f>
        <v>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54" t="str">
        <f t="shared" si="1"/>
        <v/>
      </c>
      <c r="O38" s="17"/>
      <c r="P38" s="17"/>
      <c r="Q38" s="17"/>
      <c r="R38" s="17"/>
    </row>
    <row r="39" spans="1:18">
      <c r="A39" s="26" t="str">
        <f>คะแนนเก็บ!A39</f>
        <v>35</v>
      </c>
      <c r="B39" s="25">
        <f>คะแนนเก็บ!B39</f>
        <v>0</v>
      </c>
      <c r="C39" s="25">
        <f>คะแนนเก็บ!C39</f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54" t="str">
        <f t="shared" si="1"/>
        <v/>
      </c>
      <c r="O39" s="17"/>
      <c r="P39" s="17"/>
      <c r="Q39" s="17"/>
      <c r="R39" s="17"/>
    </row>
    <row r="40" spans="1:18">
      <c r="A40" s="26" t="str">
        <f>คะแนนเก็บ!A40</f>
        <v>36</v>
      </c>
      <c r="B40" s="25">
        <f>คะแนนเก็บ!B40</f>
        <v>0</v>
      </c>
      <c r="C40" s="25">
        <f>คะแนนเก็บ!C40</f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54" t="str">
        <f t="shared" si="1"/>
        <v/>
      </c>
      <c r="O40" s="17"/>
      <c r="P40" s="17"/>
      <c r="Q40" s="17"/>
      <c r="R40" s="17"/>
    </row>
    <row r="41" spans="1:18">
      <c r="A41" s="26" t="str">
        <f>คะแนนเก็บ!A41</f>
        <v>37</v>
      </c>
      <c r="B41" s="25">
        <f>คะแนนเก็บ!B41</f>
        <v>0</v>
      </c>
      <c r="C41" s="25">
        <f>คะแนนเก็บ!C41</f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54" t="str">
        <f t="shared" si="1"/>
        <v/>
      </c>
      <c r="O41" s="17"/>
      <c r="P41" s="17"/>
      <c r="Q41" s="17"/>
      <c r="R41" s="17"/>
    </row>
    <row r="42" spans="1:18">
      <c r="A42" s="26" t="str">
        <f>คะแนนเก็บ!A42</f>
        <v>38</v>
      </c>
      <c r="B42" s="25">
        <f>คะแนนเก็บ!B42</f>
        <v>0</v>
      </c>
      <c r="C42" s="25">
        <f>คะแนนเก็บ!C42</f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54" t="str">
        <f t="shared" si="1"/>
        <v/>
      </c>
      <c r="O42" s="17"/>
      <c r="P42" s="17"/>
      <c r="Q42" s="17"/>
      <c r="R42" s="17"/>
    </row>
    <row r="43" spans="1:18">
      <c r="A43" s="26" t="str">
        <f>คะแนนเก็บ!A43</f>
        <v>39</v>
      </c>
      <c r="B43" s="25">
        <f>คะแนนเก็บ!B43</f>
        <v>0</v>
      </c>
      <c r="C43" s="25">
        <f>คะแนนเก็บ!C43</f>
        <v>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54" t="str">
        <f t="shared" si="1"/>
        <v/>
      </c>
      <c r="O43" s="17"/>
      <c r="P43" s="17"/>
      <c r="Q43" s="17"/>
      <c r="R43" s="17"/>
    </row>
    <row r="44" spans="1:18">
      <c r="A44" s="26" t="str">
        <f>คะแนนเก็บ!A44</f>
        <v>40</v>
      </c>
      <c r="B44" s="25">
        <f>คะแนนเก็บ!B44</f>
        <v>0</v>
      </c>
      <c r="C44" s="25">
        <f>คะแนนเก็บ!C44</f>
        <v>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54" t="str">
        <f t="shared" si="1"/>
        <v/>
      </c>
      <c r="O44" s="17"/>
      <c r="P44" s="17"/>
      <c r="Q44" s="17"/>
      <c r="R44" s="17"/>
    </row>
    <row r="45" spans="1:18">
      <c r="A45" s="26" t="str">
        <f>คะแนนเก็บ!A45</f>
        <v>41</v>
      </c>
      <c r="B45" s="25">
        <f>คะแนนเก็บ!B45</f>
        <v>0</v>
      </c>
      <c r="C45" s="25">
        <f>คะแนนเก็บ!C45</f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54" t="str">
        <f t="shared" si="1"/>
        <v/>
      </c>
      <c r="O45" s="17"/>
      <c r="P45" s="17"/>
      <c r="Q45" s="17"/>
      <c r="R45" s="17"/>
    </row>
    <row r="46" spans="1:18">
      <c r="A46" s="26" t="str">
        <f>คะแนนเก็บ!A46</f>
        <v>42</v>
      </c>
      <c r="B46" s="25">
        <f>คะแนนเก็บ!B46</f>
        <v>0</v>
      </c>
      <c r="C46" s="25">
        <f>คะแนนเก็บ!C46</f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54" t="str">
        <f t="shared" si="1"/>
        <v/>
      </c>
      <c r="O46" s="17"/>
      <c r="P46" s="17"/>
      <c r="Q46" s="17"/>
      <c r="R46" s="17"/>
    </row>
    <row r="47" spans="1:18">
      <c r="A47" s="26" t="str">
        <f>คะแนนเก็บ!A47</f>
        <v>43</v>
      </c>
      <c r="B47" s="25">
        <f>คะแนนเก็บ!B47</f>
        <v>0</v>
      </c>
      <c r="C47" s="25">
        <f>คะแนนเก็บ!C47</f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54" t="str">
        <f t="shared" si="1"/>
        <v/>
      </c>
      <c r="O47" s="17"/>
      <c r="P47" s="17"/>
      <c r="Q47" s="17"/>
      <c r="R47" s="17"/>
    </row>
    <row r="48" spans="1:18">
      <c r="A48" s="26" t="str">
        <f>คะแนนเก็บ!A48</f>
        <v>44</v>
      </c>
      <c r="B48" s="25">
        <f>คะแนนเก็บ!B48</f>
        <v>0</v>
      </c>
      <c r="C48" s="25">
        <f>คะแนนเก็บ!C48</f>
        <v>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54" t="str">
        <f t="shared" si="1"/>
        <v/>
      </c>
      <c r="O48" s="17"/>
      <c r="P48" s="17"/>
      <c r="Q48" s="17"/>
      <c r="R48" s="17"/>
    </row>
    <row r="49" spans="1:18">
      <c r="A49" s="26" t="str">
        <f>คะแนนเก็บ!A49</f>
        <v>45</v>
      </c>
      <c r="B49" s="25">
        <f>คะแนนเก็บ!B49</f>
        <v>0</v>
      </c>
      <c r="C49" s="25">
        <f>คะแนนเก็บ!C49</f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54" t="str">
        <f t="shared" si="1"/>
        <v/>
      </c>
      <c r="O49" s="17"/>
      <c r="P49" s="17"/>
      <c r="Q49" s="17"/>
      <c r="R49" s="17"/>
    </row>
    <row r="50" spans="1:18">
      <c r="A50" s="26" t="str">
        <f>คะแนนเก็บ!A50</f>
        <v>46</v>
      </c>
      <c r="B50" s="25">
        <f>คะแนนเก็บ!B50</f>
        <v>0</v>
      </c>
      <c r="C50" s="25">
        <f>คะแนนเก็บ!C50</f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54" t="str">
        <f t="shared" si="1"/>
        <v/>
      </c>
      <c r="O50" s="17"/>
      <c r="P50" s="17"/>
      <c r="Q50" s="17"/>
      <c r="R50" s="17"/>
    </row>
    <row r="51" spans="1:18">
      <c r="A51" s="26" t="str">
        <f>คะแนนเก็บ!A51</f>
        <v>47</v>
      </c>
      <c r="B51" s="25">
        <f>คะแนนเก็บ!B51</f>
        <v>0</v>
      </c>
      <c r="C51" s="25">
        <f>คะแนนเก็บ!C51</f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54" t="str">
        <f t="shared" si="1"/>
        <v/>
      </c>
    </row>
    <row r="52" spans="1:18">
      <c r="A52" s="26" t="str">
        <f>คะแนนเก็บ!A52</f>
        <v>48</v>
      </c>
      <c r="B52" s="25">
        <f>คะแนนเก็บ!B52</f>
        <v>0</v>
      </c>
      <c r="C52" s="25">
        <f>คะแนนเก็บ!C52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54" t="str">
        <f t="shared" si="1"/>
        <v/>
      </c>
    </row>
    <row r="53" spans="1:18">
      <c r="A53" s="26" t="str">
        <f>คะแนนเก็บ!A53</f>
        <v>49</v>
      </c>
      <c r="B53" s="25">
        <f>คะแนนเก็บ!B53</f>
        <v>0</v>
      </c>
      <c r="C53" s="25">
        <f>คะแนนเก็บ!C53</f>
        <v>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54" t="str">
        <f t="shared" si="1"/>
        <v/>
      </c>
    </row>
    <row r="54" spans="1:18">
      <c r="A54" s="26" t="str">
        <f>คะแนนเก็บ!A54</f>
        <v>50</v>
      </c>
      <c r="B54" s="25">
        <f>คะแนนเก็บ!B54</f>
        <v>0</v>
      </c>
      <c r="C54" s="25">
        <f>คะแนนเก็บ!C54</f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54" t="str">
        <f t="shared" si="1"/>
        <v/>
      </c>
    </row>
    <row r="55" spans="1:18">
      <c r="A55" s="26" t="str">
        <f>คะแนนเก็บ!A55</f>
        <v>51</v>
      </c>
      <c r="B55" s="25">
        <f>คะแนนเก็บ!B55</f>
        <v>0</v>
      </c>
      <c r="C55" s="25">
        <f>คะแนนเก็บ!C55</f>
        <v>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54" t="str">
        <f t="shared" si="1"/>
        <v/>
      </c>
    </row>
    <row r="56" spans="1:18">
      <c r="A56" s="26" t="str">
        <f>คะแนนเก็บ!A56</f>
        <v>52</v>
      </c>
      <c r="B56" s="25">
        <f>คะแนนเก็บ!B56</f>
        <v>0</v>
      </c>
      <c r="C56" s="25">
        <f>คะแนนเก็บ!C56</f>
        <v>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54" t="str">
        <f t="shared" si="1"/>
        <v/>
      </c>
    </row>
    <row r="57" spans="1:18">
      <c r="A57" s="26" t="str">
        <f>คะแนนเก็บ!A57</f>
        <v>53</v>
      </c>
      <c r="B57" s="25">
        <f>คะแนนเก็บ!B57</f>
        <v>0</v>
      </c>
      <c r="C57" s="25">
        <f>คะแนนเก็บ!C57</f>
        <v>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54" t="str">
        <f t="shared" si="1"/>
        <v/>
      </c>
    </row>
    <row r="58" spans="1:18">
      <c r="A58" s="26" t="str">
        <f>คะแนนเก็บ!A58</f>
        <v>54</v>
      </c>
      <c r="B58" s="25">
        <f>คะแนนเก็บ!B58</f>
        <v>0</v>
      </c>
      <c r="C58" s="25">
        <f>คะแนนเก็บ!C58</f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54" t="str">
        <f t="shared" si="1"/>
        <v/>
      </c>
    </row>
    <row r="59" spans="1:18">
      <c r="A59" s="26" t="str">
        <f>คะแนนเก็บ!A59</f>
        <v>55</v>
      </c>
      <c r="B59" s="25">
        <f>คะแนนเก็บ!B59</f>
        <v>0</v>
      </c>
      <c r="C59" s="25">
        <f>คะแนนเก็บ!C59</f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54" t="str">
        <f t="shared" si="1"/>
        <v/>
      </c>
    </row>
    <row r="60" spans="1:18">
      <c r="A60" s="26" t="str">
        <f>คะแนนเก็บ!A60</f>
        <v>56</v>
      </c>
      <c r="B60" s="25">
        <f>คะแนนเก็บ!B60</f>
        <v>0</v>
      </c>
      <c r="C60" s="25">
        <f>คะแนนเก็บ!C60</f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54" t="str">
        <f t="shared" si="1"/>
        <v/>
      </c>
    </row>
    <row r="61" spans="1:18">
      <c r="A61" s="26" t="str">
        <f>คะแนนเก็บ!A61</f>
        <v>57</v>
      </c>
      <c r="B61" s="25">
        <f>คะแนนเก็บ!B61</f>
        <v>0</v>
      </c>
      <c r="C61" s="25">
        <f>คะแนนเก็บ!C61</f>
        <v>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54" t="str">
        <f t="shared" si="1"/>
        <v/>
      </c>
    </row>
    <row r="62" spans="1:18">
      <c r="A62" s="26" t="str">
        <f>คะแนนเก็บ!A62</f>
        <v>58</v>
      </c>
      <c r="B62" s="25">
        <f>คะแนนเก็บ!B62</f>
        <v>0</v>
      </c>
      <c r="C62" s="25">
        <f>คะแนนเก็บ!C62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54" t="str">
        <f t="shared" si="1"/>
        <v/>
      </c>
    </row>
    <row r="63" spans="1:18">
      <c r="A63" s="26" t="str">
        <f>คะแนนเก็บ!A63</f>
        <v>59</v>
      </c>
      <c r="B63" s="25">
        <f>คะแนนเก็บ!B63</f>
        <v>0</v>
      </c>
      <c r="C63" s="25">
        <f>คะแนนเก็บ!C63</f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54" t="str">
        <f t="shared" si="1"/>
        <v/>
      </c>
    </row>
    <row r="64" spans="1:18">
      <c r="A64" s="26" t="str">
        <f>คะแนนเก็บ!A64</f>
        <v>60</v>
      </c>
      <c r="B64" s="25">
        <f>คะแนนเก็บ!B64</f>
        <v>0</v>
      </c>
      <c r="C64" s="25">
        <f>คะแนนเก็บ!C64</f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54" t="str">
        <f t="shared" si="1"/>
        <v/>
      </c>
    </row>
  </sheetData>
  <sheetProtection algorithmName="SHA-512" hashValue="EFtEi/zeCFgpuTQ0dH3I8Hi5s/45HuazgtEE04jt2vAQw4S2X+lLnhkakbNX0mzU+b+UEkaDtomEb+F+NHSRLQ==" saltValue="KCiAHC0lRGTRMqSgruw1vw==" spinCount="100000" sheet="1" selectLockedCells="1"/>
  <mergeCells count="6">
    <mergeCell ref="A2:A4"/>
    <mergeCell ref="A1:R1"/>
    <mergeCell ref="B2:B4"/>
    <mergeCell ref="C2:C3"/>
    <mergeCell ref="D2:M2"/>
    <mergeCell ref="N2:N3"/>
  </mergeCells>
  <conditionalFormatting sqref="B6">
    <cfRule type="cellIs" dxfId="18" priority="1" operator="greaterThan">
      <formula>1</formula>
    </cfRule>
  </conditionalFormatting>
  <conditionalFormatting sqref="B5:C64">
    <cfRule type="cellIs" dxfId="17" priority="2" operator="greaterThan">
      <formula>0</formula>
    </cfRule>
    <cfRule type="cellIs" dxfId="16" priority="5" operator="equal">
      <formula>0</formula>
    </cfRule>
  </conditionalFormatting>
  <dataValidations count="2">
    <dataValidation type="whole" allowBlank="1" showInputMessage="1" showErrorMessage="1" error="1. คะแนนเต็มต้องอยู่ระหว่าง 0-999 เท่านั้น_x000a_2. ระบุเป็นตัวเลขได้เท่านั้น" sqref="D4:M4" xr:uid="{2BB8DC61-8397-44D2-A9CD-2C1445FBB8F6}">
      <formula1>0</formula1>
      <formula2>999</formula2>
    </dataValidation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M64" xr:uid="{7F3B0E94-A799-4BE5-9DBC-99876005010D}">
      <formula1>D$4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9653-38C7-45CD-A209-36D85F5DE641}">
  <sheetPr>
    <tabColor rgb="FF68CBFC"/>
  </sheetPr>
  <dimension ref="A1:AC66"/>
  <sheetViews>
    <sheetView workbookViewId="0">
      <pane xSplit="3" ySplit="4" topLeftCell="D5" activePane="bottomRight" state="frozen"/>
      <selection pane="bottomRight" activeCell="D4" sqref="D4"/>
      <selection pane="bottomLeft" activeCell="F6" sqref="F6"/>
      <selection pane="topRight" activeCell="F6" sqref="F6"/>
    </sheetView>
  </sheetViews>
  <sheetFormatPr defaultColWidth="9.28515625" defaultRowHeight="24"/>
  <cols>
    <col min="1" max="1" width="5.7109375" style="23" customWidth="1"/>
    <col min="2" max="2" width="9.28515625" style="2" customWidth="1"/>
    <col min="3" max="3" width="31.42578125" style="2" customWidth="1"/>
    <col min="4" max="23" width="5" style="1" customWidth="1"/>
    <col min="24" max="24" width="5" style="40" customWidth="1"/>
    <col min="25" max="25" width="9.28515625" style="1"/>
    <col min="26" max="26" width="9.28515625" style="1" customWidth="1"/>
    <col min="27" max="16384" width="9.28515625" style="1"/>
  </cols>
  <sheetData>
    <row r="1" spans="1:29">
      <c r="A1" s="60" t="s">
        <v>99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9" ht="22.5" customHeight="1">
      <c r="A2" s="62" t="s">
        <v>24</v>
      </c>
      <c r="B2" s="62" t="s">
        <v>25</v>
      </c>
      <c r="C2" s="64" t="s">
        <v>26</v>
      </c>
      <c r="D2" s="65" t="s">
        <v>27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7"/>
      <c r="X2" s="63" t="s">
        <v>28</v>
      </c>
    </row>
    <row r="3" spans="1:29" ht="111" customHeight="1">
      <c r="A3" s="62"/>
      <c r="B3" s="62"/>
      <c r="C3" s="64"/>
      <c r="D3" s="9" t="s">
        <v>35</v>
      </c>
      <c r="E3" s="9" t="s">
        <v>30</v>
      </c>
      <c r="F3" s="9" t="s">
        <v>40</v>
      </c>
      <c r="G3" s="9" t="s">
        <v>43</v>
      </c>
      <c r="H3" s="9" t="s">
        <v>44</v>
      </c>
      <c r="I3" s="9" t="s">
        <v>45</v>
      </c>
      <c r="J3" s="9" t="s">
        <v>46</v>
      </c>
      <c r="K3" s="9" t="s">
        <v>47</v>
      </c>
      <c r="L3" s="9" t="s">
        <v>31</v>
      </c>
      <c r="M3" s="9" t="s">
        <v>48</v>
      </c>
      <c r="N3" s="9" t="s">
        <v>32</v>
      </c>
      <c r="O3" s="9" t="s">
        <v>49</v>
      </c>
      <c r="P3" s="9" t="s">
        <v>50</v>
      </c>
      <c r="Q3" s="9" t="s">
        <v>51</v>
      </c>
      <c r="R3" s="9" t="s">
        <v>52</v>
      </c>
      <c r="S3" s="9" t="s">
        <v>33</v>
      </c>
      <c r="T3" s="9" t="s">
        <v>53</v>
      </c>
      <c r="U3" s="9" t="s">
        <v>54</v>
      </c>
      <c r="V3" s="9" t="s">
        <v>55</v>
      </c>
      <c r="W3" s="9" t="s">
        <v>56</v>
      </c>
      <c r="X3" s="63"/>
    </row>
    <row r="4" spans="1:29" ht="21.75" customHeight="1">
      <c r="A4" s="62"/>
      <c r="B4" s="62"/>
      <c r="C4" s="58" t="s">
        <v>34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20" t="str">
        <f>IF(AND(ISBLANK(D4)=TRUE,ISBLANK(E4)=TRUE,ISBLANK(F4)=TRUE,ISBLANK(G4)=TRUE,ISBLANK(H4)=TRUE,ISBLANK(I4)=TRUE,ISBLANK(J4)=TRUE,ISBLANK(K4)=TRUE,ISBLANK(L4)=TRUE,ISBLANK(M4)=TRUE,ISBLANK(N4)=TRUE,ISBLANK(O4)=TRUE,ISBLANK(P4)=TRUE,ISBLANK(Q4)=TRUE,ISBLANK(R4)=TRUE,ISBLANK(S4)=TRUE,ISBLANK(T4)=TRUE,ISBLANK(U4)=TRUE,ISBLANK(V4)=TRUE,ISBLANK(W4)=TRUE),"",SUM(D4:W4))</f>
        <v/>
      </c>
    </row>
    <row r="5" spans="1:29" ht="26.45">
      <c r="A5" s="26" t="s">
        <v>35</v>
      </c>
      <c r="B5" s="25" t="str">
        <f>คะแนนเก็บ!B5</f>
        <v>123</v>
      </c>
      <c r="C5" s="25" t="str">
        <f>คะแนนเก็บ!C5</f>
        <v>เด็กชายจับจ่าย รักโรงเรียน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20" t="str">
        <f t="shared" ref="X5:X64" si="0">IF(AND(ISBLANK(D5)=TRUE,ISBLANK(E5)=TRUE,ISBLANK(F5)=TRUE,ISBLANK(G5)=TRUE,ISBLANK(H5)=TRUE,ISBLANK(I5)=TRUE,ISBLANK(J5)=TRUE,ISBLANK(K5)=TRUE,ISBLANK(L5)=TRUE,ISBLANK(M5)=TRUE,ISBLANK(N5)=TRUE,ISBLANK(O5)=TRUE,ISBLANK(P5)=TRUE,ISBLANK(Q5)=TRUE,ISBLANK(R5)=TRUE,ISBLANK(S5)=TRUE,ISBLANK(T5)=TRUE,ISBLANK(U5)=TRUE,ISBLANK(V5)=TRUE,ISBLANK(W5)=TRUE),"",SUM(D5:W5))</f>
        <v/>
      </c>
      <c r="AC5" s="22"/>
    </row>
    <row r="6" spans="1:29">
      <c r="A6" s="26" t="s">
        <v>30</v>
      </c>
      <c r="B6" s="25" t="str">
        <f>คะแนนเก็บ!B6</f>
        <v>456</v>
      </c>
      <c r="C6" s="25" t="str">
        <f>คะแนนเก็บ!C6</f>
        <v>เด็กชายสคูล ไบร์ท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20" t="str">
        <f t="shared" si="0"/>
        <v/>
      </c>
    </row>
    <row r="7" spans="1:29">
      <c r="A7" s="26" t="s">
        <v>40</v>
      </c>
      <c r="B7" s="25" t="str">
        <f>คะแนนเก็บ!B7</f>
        <v>A123</v>
      </c>
      <c r="C7" s="25" t="str">
        <f>คะแนนเก็บ!C7</f>
        <v>เด็กหญิงน้ำเพชร ใจดี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20" t="str">
        <f t="shared" si="0"/>
        <v/>
      </c>
    </row>
    <row r="8" spans="1:29">
      <c r="A8" s="26" t="s">
        <v>43</v>
      </c>
      <c r="B8" s="25">
        <f>คะแนนเก็บ!B8</f>
        <v>0</v>
      </c>
      <c r="C8" s="25">
        <f>คะแนนเก็บ!C8</f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20" t="str">
        <f t="shared" si="0"/>
        <v/>
      </c>
    </row>
    <row r="9" spans="1:29">
      <c r="A9" s="26" t="s">
        <v>44</v>
      </c>
      <c r="B9" s="25">
        <f>คะแนนเก็บ!B9</f>
        <v>0</v>
      </c>
      <c r="C9" s="25">
        <f>คะแนนเก็บ!C9</f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20" t="str">
        <f t="shared" si="0"/>
        <v/>
      </c>
    </row>
    <row r="10" spans="1:29">
      <c r="A10" s="26" t="s">
        <v>45</v>
      </c>
      <c r="B10" s="25">
        <f>คะแนนเก็บ!B10</f>
        <v>0</v>
      </c>
      <c r="C10" s="25">
        <f>คะแนนเก็บ!C10</f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20" t="str">
        <f t="shared" si="0"/>
        <v/>
      </c>
    </row>
    <row r="11" spans="1:29">
      <c r="A11" s="26" t="s">
        <v>46</v>
      </c>
      <c r="B11" s="25">
        <f>คะแนนเก็บ!B11</f>
        <v>0</v>
      </c>
      <c r="C11" s="25">
        <f>คะแนนเก็บ!C11</f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20" t="str">
        <f t="shared" si="0"/>
        <v/>
      </c>
    </row>
    <row r="12" spans="1:29">
      <c r="A12" s="26" t="s">
        <v>47</v>
      </c>
      <c r="B12" s="25">
        <f>คะแนนเก็บ!B12</f>
        <v>0</v>
      </c>
      <c r="C12" s="25">
        <f>คะแนนเก็บ!C12</f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20" t="str">
        <f t="shared" si="0"/>
        <v/>
      </c>
    </row>
    <row r="13" spans="1:29">
      <c r="A13" s="26" t="s">
        <v>31</v>
      </c>
      <c r="B13" s="25">
        <f>คะแนนเก็บ!B13</f>
        <v>0</v>
      </c>
      <c r="C13" s="25">
        <f>คะแนนเก็บ!C13</f>
        <v>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20" t="str">
        <f t="shared" si="0"/>
        <v/>
      </c>
    </row>
    <row r="14" spans="1:29">
      <c r="A14" s="26" t="s">
        <v>48</v>
      </c>
      <c r="B14" s="25">
        <f>คะแนนเก็บ!B14</f>
        <v>0</v>
      </c>
      <c r="C14" s="25">
        <f>คะแนนเก็บ!C14</f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20" t="str">
        <f t="shared" si="0"/>
        <v/>
      </c>
    </row>
    <row r="15" spans="1:29">
      <c r="A15" s="26" t="s">
        <v>32</v>
      </c>
      <c r="B15" s="25">
        <f>คะแนนเก็บ!B15</f>
        <v>0</v>
      </c>
      <c r="C15" s="25">
        <f>คะแนนเก็บ!C15</f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20" t="str">
        <f t="shared" si="0"/>
        <v/>
      </c>
    </row>
    <row r="16" spans="1:29">
      <c r="A16" s="26" t="s">
        <v>49</v>
      </c>
      <c r="B16" s="25">
        <f>คะแนนเก็บ!B16</f>
        <v>0</v>
      </c>
      <c r="C16" s="25">
        <f>คะแนนเก็บ!C16</f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20" t="str">
        <f t="shared" si="0"/>
        <v/>
      </c>
    </row>
    <row r="17" spans="1:24">
      <c r="A17" s="26" t="s">
        <v>50</v>
      </c>
      <c r="B17" s="25">
        <f>คะแนนเก็บ!B17</f>
        <v>0</v>
      </c>
      <c r="C17" s="25">
        <f>คะแนนเก็บ!C17</f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20" t="str">
        <f t="shared" si="0"/>
        <v/>
      </c>
    </row>
    <row r="18" spans="1:24">
      <c r="A18" s="26" t="s">
        <v>51</v>
      </c>
      <c r="B18" s="25">
        <f>คะแนนเก็บ!B18</f>
        <v>0</v>
      </c>
      <c r="C18" s="25">
        <f>คะแนนเก็บ!C18</f>
        <v>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20" t="str">
        <f t="shared" si="0"/>
        <v/>
      </c>
    </row>
    <row r="19" spans="1:24">
      <c r="A19" s="26" t="s">
        <v>52</v>
      </c>
      <c r="B19" s="25">
        <f>คะแนนเก็บ!B19</f>
        <v>0</v>
      </c>
      <c r="C19" s="25">
        <f>คะแนนเก็บ!C19</f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20" t="str">
        <f t="shared" si="0"/>
        <v/>
      </c>
    </row>
    <row r="20" spans="1:24">
      <c r="A20" s="26" t="s">
        <v>33</v>
      </c>
      <c r="B20" s="25">
        <f>คะแนนเก็บ!B20</f>
        <v>0</v>
      </c>
      <c r="C20" s="25">
        <f>คะแนนเก็บ!C20</f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20" t="str">
        <f t="shared" si="0"/>
        <v/>
      </c>
    </row>
    <row r="21" spans="1:24">
      <c r="A21" s="26" t="s">
        <v>53</v>
      </c>
      <c r="B21" s="25">
        <f>คะแนนเก็บ!B21</f>
        <v>0</v>
      </c>
      <c r="C21" s="25">
        <f>คะแนนเก็บ!C21</f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20" t="str">
        <f t="shared" si="0"/>
        <v/>
      </c>
    </row>
    <row r="22" spans="1:24">
      <c r="A22" s="26" t="s">
        <v>54</v>
      </c>
      <c r="B22" s="25">
        <f>คะแนนเก็บ!B22</f>
        <v>0</v>
      </c>
      <c r="C22" s="25">
        <f>คะแนนเก็บ!C22</f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20" t="str">
        <f t="shared" si="0"/>
        <v/>
      </c>
    </row>
    <row r="23" spans="1:24">
      <c r="A23" s="26" t="s">
        <v>55</v>
      </c>
      <c r="B23" s="25">
        <f>คะแนนเก็บ!B23</f>
        <v>0</v>
      </c>
      <c r="C23" s="25">
        <f>คะแนนเก็บ!C23</f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20" t="str">
        <f t="shared" si="0"/>
        <v/>
      </c>
    </row>
    <row r="24" spans="1:24">
      <c r="A24" s="26" t="s">
        <v>56</v>
      </c>
      <c r="B24" s="25">
        <f>คะแนนเก็บ!B24</f>
        <v>0</v>
      </c>
      <c r="C24" s="25">
        <f>คะแนนเก็บ!C24</f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20" t="str">
        <f t="shared" si="0"/>
        <v/>
      </c>
    </row>
    <row r="25" spans="1:24">
      <c r="A25" s="26" t="s">
        <v>57</v>
      </c>
      <c r="B25" s="25">
        <f>คะแนนเก็บ!B25</f>
        <v>0</v>
      </c>
      <c r="C25" s="25">
        <f>คะแนนเก็บ!C25</f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20" t="str">
        <f t="shared" si="0"/>
        <v/>
      </c>
    </row>
    <row r="26" spans="1:24">
      <c r="A26" s="26" t="s">
        <v>58</v>
      </c>
      <c r="B26" s="25">
        <f>คะแนนเก็บ!B26</f>
        <v>0</v>
      </c>
      <c r="C26" s="25">
        <f>คะแนนเก็บ!C26</f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20" t="str">
        <f t="shared" si="0"/>
        <v/>
      </c>
    </row>
    <row r="27" spans="1:24">
      <c r="A27" s="26" t="s">
        <v>59</v>
      </c>
      <c r="B27" s="25">
        <f>คะแนนเก็บ!B27</f>
        <v>0</v>
      </c>
      <c r="C27" s="25">
        <f>คะแนนเก็บ!C27</f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20" t="str">
        <f t="shared" si="0"/>
        <v/>
      </c>
    </row>
    <row r="28" spans="1:24">
      <c r="A28" s="26" t="s">
        <v>60</v>
      </c>
      <c r="B28" s="25">
        <f>คะแนนเก็บ!B28</f>
        <v>0</v>
      </c>
      <c r="C28" s="25">
        <f>คะแนนเก็บ!C28</f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20" t="str">
        <f t="shared" si="0"/>
        <v/>
      </c>
    </row>
    <row r="29" spans="1:24">
      <c r="A29" s="26" t="s">
        <v>61</v>
      </c>
      <c r="B29" s="25">
        <f>คะแนนเก็บ!B29</f>
        <v>0</v>
      </c>
      <c r="C29" s="25">
        <f>คะแนนเก็บ!C29</f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20" t="str">
        <f t="shared" si="0"/>
        <v/>
      </c>
    </row>
    <row r="30" spans="1:24">
      <c r="A30" s="26" t="s">
        <v>62</v>
      </c>
      <c r="B30" s="25">
        <f>คะแนนเก็บ!B30</f>
        <v>0</v>
      </c>
      <c r="C30" s="25">
        <f>คะแนนเก็บ!C30</f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20" t="str">
        <f t="shared" si="0"/>
        <v/>
      </c>
    </row>
    <row r="31" spans="1:24">
      <c r="A31" s="26" t="s">
        <v>63</v>
      </c>
      <c r="B31" s="25">
        <f>คะแนนเก็บ!B31</f>
        <v>0</v>
      </c>
      <c r="C31" s="25">
        <f>คะแนนเก็บ!C31</f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20" t="str">
        <f t="shared" si="0"/>
        <v/>
      </c>
    </row>
    <row r="32" spans="1:24">
      <c r="A32" s="26" t="s">
        <v>64</v>
      </c>
      <c r="B32" s="25">
        <f>คะแนนเก็บ!B32</f>
        <v>0</v>
      </c>
      <c r="C32" s="25">
        <f>คะแนนเก็บ!C32</f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20" t="str">
        <f t="shared" si="0"/>
        <v/>
      </c>
    </row>
    <row r="33" spans="1:24">
      <c r="A33" s="26" t="s">
        <v>65</v>
      </c>
      <c r="B33" s="25">
        <f>คะแนนเก็บ!B33</f>
        <v>0</v>
      </c>
      <c r="C33" s="25">
        <f>คะแนนเก็บ!C33</f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20" t="str">
        <f t="shared" si="0"/>
        <v/>
      </c>
    </row>
    <row r="34" spans="1:24">
      <c r="A34" s="26" t="s">
        <v>66</v>
      </c>
      <c r="B34" s="25">
        <f>คะแนนเก็บ!B34</f>
        <v>0</v>
      </c>
      <c r="C34" s="25">
        <f>คะแนนเก็บ!C34</f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20" t="str">
        <f t="shared" si="0"/>
        <v/>
      </c>
    </row>
    <row r="35" spans="1:24">
      <c r="A35" s="26" t="s">
        <v>67</v>
      </c>
      <c r="B35" s="25">
        <f>คะแนนเก็บ!B35</f>
        <v>0</v>
      </c>
      <c r="C35" s="25">
        <f>คะแนนเก็บ!C35</f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20" t="str">
        <f t="shared" si="0"/>
        <v/>
      </c>
    </row>
    <row r="36" spans="1:24">
      <c r="A36" s="26" t="s">
        <v>68</v>
      </c>
      <c r="B36" s="25">
        <f>คะแนนเก็บ!B36</f>
        <v>0</v>
      </c>
      <c r="C36" s="25">
        <f>คะแนนเก็บ!C36</f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20" t="str">
        <f t="shared" si="0"/>
        <v/>
      </c>
    </row>
    <row r="37" spans="1:24">
      <c r="A37" s="26" t="s">
        <v>69</v>
      </c>
      <c r="B37" s="25">
        <f>คะแนนเก็บ!B37</f>
        <v>0</v>
      </c>
      <c r="C37" s="25">
        <f>คะแนนเก็บ!C37</f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20" t="str">
        <f t="shared" si="0"/>
        <v/>
      </c>
    </row>
    <row r="38" spans="1:24">
      <c r="A38" s="26" t="s">
        <v>70</v>
      </c>
      <c r="B38" s="25">
        <f>คะแนนเก็บ!B38</f>
        <v>0</v>
      </c>
      <c r="C38" s="25">
        <f>คะแนนเก็บ!C38</f>
        <v>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20" t="str">
        <f t="shared" si="0"/>
        <v/>
      </c>
    </row>
    <row r="39" spans="1:24">
      <c r="A39" s="26" t="s">
        <v>71</v>
      </c>
      <c r="B39" s="25">
        <f>คะแนนเก็บ!B39</f>
        <v>0</v>
      </c>
      <c r="C39" s="25">
        <f>คะแนนเก็บ!C39</f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0" t="str">
        <f t="shared" si="0"/>
        <v/>
      </c>
    </row>
    <row r="40" spans="1:24">
      <c r="A40" s="26" t="s">
        <v>72</v>
      </c>
      <c r="B40" s="25">
        <f>คะแนนเก็บ!B40</f>
        <v>0</v>
      </c>
      <c r="C40" s="25">
        <f>คะแนนเก็บ!C40</f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20" t="str">
        <f t="shared" si="0"/>
        <v/>
      </c>
    </row>
    <row r="41" spans="1:24">
      <c r="A41" s="26" t="s">
        <v>73</v>
      </c>
      <c r="B41" s="25">
        <f>คะแนนเก็บ!B41</f>
        <v>0</v>
      </c>
      <c r="C41" s="25">
        <f>คะแนนเก็บ!C41</f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20" t="str">
        <f t="shared" si="0"/>
        <v/>
      </c>
    </row>
    <row r="42" spans="1:24">
      <c r="A42" s="26" t="s">
        <v>74</v>
      </c>
      <c r="B42" s="25">
        <f>คะแนนเก็บ!B42</f>
        <v>0</v>
      </c>
      <c r="C42" s="25">
        <f>คะแนนเก็บ!C42</f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20" t="str">
        <f t="shared" si="0"/>
        <v/>
      </c>
    </row>
    <row r="43" spans="1:24">
      <c r="A43" s="26" t="s">
        <v>75</v>
      </c>
      <c r="B43" s="25">
        <f>คะแนนเก็บ!B43</f>
        <v>0</v>
      </c>
      <c r="C43" s="25">
        <f>คะแนนเก็บ!C43</f>
        <v>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20" t="str">
        <f t="shared" si="0"/>
        <v/>
      </c>
    </row>
    <row r="44" spans="1:24">
      <c r="A44" s="26" t="s">
        <v>76</v>
      </c>
      <c r="B44" s="25">
        <f>คะแนนเก็บ!B44</f>
        <v>0</v>
      </c>
      <c r="C44" s="25">
        <f>คะแนนเก็บ!C44</f>
        <v>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20" t="str">
        <f t="shared" si="0"/>
        <v/>
      </c>
    </row>
    <row r="45" spans="1:24">
      <c r="A45" s="26" t="s">
        <v>77</v>
      </c>
      <c r="B45" s="25">
        <f>คะแนนเก็บ!B45</f>
        <v>0</v>
      </c>
      <c r="C45" s="25">
        <f>คะแนนเก็บ!C45</f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20" t="str">
        <f t="shared" si="0"/>
        <v/>
      </c>
    </row>
    <row r="46" spans="1:24">
      <c r="A46" s="26" t="s">
        <v>78</v>
      </c>
      <c r="B46" s="25">
        <f>คะแนนเก็บ!B46</f>
        <v>0</v>
      </c>
      <c r="C46" s="25">
        <f>คะแนนเก็บ!C46</f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20" t="str">
        <f t="shared" si="0"/>
        <v/>
      </c>
    </row>
    <row r="47" spans="1:24">
      <c r="A47" s="26" t="s">
        <v>79</v>
      </c>
      <c r="B47" s="25">
        <f>คะแนนเก็บ!B47</f>
        <v>0</v>
      </c>
      <c r="C47" s="25">
        <f>คะแนนเก็บ!C47</f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20" t="str">
        <f t="shared" si="0"/>
        <v/>
      </c>
    </row>
    <row r="48" spans="1:24">
      <c r="A48" s="26" t="s">
        <v>80</v>
      </c>
      <c r="B48" s="25">
        <f>คะแนนเก็บ!B48</f>
        <v>0</v>
      </c>
      <c r="C48" s="25">
        <f>คะแนนเก็บ!C48</f>
        <v>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20" t="str">
        <f t="shared" si="0"/>
        <v/>
      </c>
    </row>
    <row r="49" spans="1:24">
      <c r="A49" s="26" t="s">
        <v>81</v>
      </c>
      <c r="B49" s="25">
        <f>คะแนนเก็บ!B49</f>
        <v>0</v>
      </c>
      <c r="C49" s="25">
        <f>คะแนนเก็บ!C49</f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20" t="str">
        <f t="shared" si="0"/>
        <v/>
      </c>
    </row>
    <row r="50" spans="1:24">
      <c r="A50" s="26" t="s">
        <v>82</v>
      </c>
      <c r="B50" s="25">
        <f>คะแนนเก็บ!B50</f>
        <v>0</v>
      </c>
      <c r="C50" s="25">
        <f>คะแนนเก็บ!C50</f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20" t="str">
        <f t="shared" si="0"/>
        <v/>
      </c>
    </row>
    <row r="51" spans="1:24">
      <c r="A51" s="26" t="s">
        <v>83</v>
      </c>
      <c r="B51" s="25">
        <f>คะแนนเก็บ!B51</f>
        <v>0</v>
      </c>
      <c r="C51" s="25">
        <f>คะแนนเก็บ!C51</f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20" t="str">
        <f t="shared" si="0"/>
        <v/>
      </c>
    </row>
    <row r="52" spans="1:24">
      <c r="A52" s="26" t="s">
        <v>84</v>
      </c>
      <c r="B52" s="25">
        <f>คะแนนเก็บ!B52</f>
        <v>0</v>
      </c>
      <c r="C52" s="25">
        <f>คะแนนเก็บ!C52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20" t="str">
        <f t="shared" si="0"/>
        <v/>
      </c>
    </row>
    <row r="53" spans="1:24">
      <c r="A53" s="26" t="s">
        <v>85</v>
      </c>
      <c r="B53" s="25">
        <f>คะแนนเก็บ!B53</f>
        <v>0</v>
      </c>
      <c r="C53" s="25">
        <f>คะแนนเก็บ!C53</f>
        <v>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20" t="str">
        <f t="shared" si="0"/>
        <v/>
      </c>
    </row>
    <row r="54" spans="1:24">
      <c r="A54" s="26" t="s">
        <v>86</v>
      </c>
      <c r="B54" s="25">
        <f>คะแนนเก็บ!B54</f>
        <v>0</v>
      </c>
      <c r="C54" s="25">
        <f>คะแนนเก็บ!C54</f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20" t="str">
        <f t="shared" si="0"/>
        <v/>
      </c>
    </row>
    <row r="55" spans="1:24">
      <c r="A55" s="26" t="s">
        <v>87</v>
      </c>
      <c r="B55" s="25">
        <f>คะแนนเก็บ!B55</f>
        <v>0</v>
      </c>
      <c r="C55" s="25">
        <f>คะแนนเก็บ!C55</f>
        <v>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20" t="str">
        <f t="shared" si="0"/>
        <v/>
      </c>
    </row>
    <row r="56" spans="1:24">
      <c r="A56" s="26" t="s">
        <v>88</v>
      </c>
      <c r="B56" s="25">
        <f>คะแนนเก็บ!B56</f>
        <v>0</v>
      </c>
      <c r="C56" s="25">
        <f>คะแนนเก็บ!C56</f>
        <v>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20" t="str">
        <f t="shared" si="0"/>
        <v/>
      </c>
    </row>
    <row r="57" spans="1:24">
      <c r="A57" s="26" t="s">
        <v>89</v>
      </c>
      <c r="B57" s="25">
        <f>คะแนนเก็บ!B57</f>
        <v>0</v>
      </c>
      <c r="C57" s="25">
        <f>คะแนนเก็บ!C57</f>
        <v>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20" t="str">
        <f t="shared" si="0"/>
        <v/>
      </c>
    </row>
    <row r="58" spans="1:24">
      <c r="A58" s="26" t="s">
        <v>90</v>
      </c>
      <c r="B58" s="25">
        <f>คะแนนเก็บ!B58</f>
        <v>0</v>
      </c>
      <c r="C58" s="25">
        <f>คะแนนเก็บ!C58</f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20" t="str">
        <f t="shared" si="0"/>
        <v/>
      </c>
    </row>
    <row r="59" spans="1:24">
      <c r="A59" s="26" t="s">
        <v>91</v>
      </c>
      <c r="B59" s="25">
        <f>คะแนนเก็บ!B59</f>
        <v>0</v>
      </c>
      <c r="C59" s="25">
        <f>คะแนนเก็บ!C59</f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20" t="str">
        <f t="shared" si="0"/>
        <v/>
      </c>
    </row>
    <row r="60" spans="1:24">
      <c r="A60" s="26" t="s">
        <v>92</v>
      </c>
      <c r="B60" s="25">
        <f>คะแนนเก็บ!B60</f>
        <v>0</v>
      </c>
      <c r="C60" s="25">
        <f>คะแนนเก็บ!C60</f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20" t="str">
        <f t="shared" si="0"/>
        <v/>
      </c>
    </row>
    <row r="61" spans="1:24">
      <c r="A61" s="26" t="s">
        <v>93</v>
      </c>
      <c r="B61" s="25">
        <f>คะแนนเก็บ!B61</f>
        <v>0</v>
      </c>
      <c r="C61" s="25">
        <f>คะแนนเก็บ!C61</f>
        <v>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20" t="str">
        <f t="shared" si="0"/>
        <v/>
      </c>
    </row>
    <row r="62" spans="1:24">
      <c r="A62" s="26" t="s">
        <v>94</v>
      </c>
      <c r="B62" s="25">
        <f>คะแนนเก็บ!B62</f>
        <v>0</v>
      </c>
      <c r="C62" s="25">
        <f>คะแนนเก็บ!C62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20" t="str">
        <f t="shared" si="0"/>
        <v/>
      </c>
    </row>
    <row r="63" spans="1:24">
      <c r="A63" s="26" t="s">
        <v>95</v>
      </c>
      <c r="B63" s="25">
        <f>คะแนนเก็บ!B63</f>
        <v>0</v>
      </c>
      <c r="C63" s="25">
        <f>คะแนนเก็บ!C63</f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20" t="str">
        <f t="shared" si="0"/>
        <v/>
      </c>
    </row>
    <row r="64" spans="1:24">
      <c r="A64" s="26" t="s">
        <v>96</v>
      </c>
      <c r="B64" s="25">
        <f>คะแนนเก็บ!B64</f>
        <v>0</v>
      </c>
      <c r="C64" s="25">
        <f>คะแนนเก็บ!C64</f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20" t="str">
        <f t="shared" si="0"/>
        <v/>
      </c>
    </row>
    <row r="65" spans="1:3">
      <c r="A65" s="2"/>
      <c r="C65" s="1"/>
    </row>
    <row r="66" spans="1:3">
      <c r="A66" s="2"/>
      <c r="C66" s="1"/>
    </row>
  </sheetData>
  <sheetProtection algorithmName="SHA-512" hashValue="FSER2KyyxensDnkzk3fCFusB5an2ufXlyWlxto6oPiDo2mbq85zeceNTs/+apzv3jcLBQCT62D5T+7Ry7nqWhA==" saltValue="c3sV9Aa0mX0yxKbZyCWQKw==" spinCount="100000" sheet="1" selectLockedCells="1"/>
  <mergeCells count="6">
    <mergeCell ref="A1:X1"/>
    <mergeCell ref="A2:A4"/>
    <mergeCell ref="B2:B4"/>
    <mergeCell ref="C2:C3"/>
    <mergeCell ref="X2:X3"/>
    <mergeCell ref="D2:W2"/>
  </mergeCells>
  <phoneticPr fontId="12" type="noConversion"/>
  <conditionalFormatting sqref="B6">
    <cfRule type="cellIs" dxfId="15" priority="1" operator="greaterThan">
      <formula>1</formula>
    </cfRule>
  </conditionalFormatting>
  <conditionalFormatting sqref="B5:C64">
    <cfRule type="cellIs" dxfId="14" priority="2" operator="greaterThan">
      <formula>0</formula>
    </cfRule>
    <cfRule type="cellIs" dxfId="13" priority="4" operator="equal">
      <formula>0</formula>
    </cfRule>
  </conditionalFormatting>
  <dataValidations count="2">
    <dataValidation type="whole" allowBlank="1" showInputMessage="1" showErrorMessage="1" error="1. คะแนนเต็มต้องอยู่ระหว่าง 0-999 เท่านั้น_x000a_2. ระบุเป็นตัวเลขได้เท่านั้น" sqref="D4:W4" xr:uid="{2137572A-9E4D-4894-9F37-DA8972692D60}">
      <formula1>0</formula1>
      <formula2>999</formula2>
    </dataValidation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W64" xr:uid="{86138108-A25C-4BA9-939E-E7B29981D2C9}">
      <formula1>D$4</formula1>
    </dataValidation>
  </dataValidation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3BAB-322F-4A56-92C0-E61289AF0121}">
  <sheetPr>
    <tabColor rgb="FF68CBFC"/>
  </sheetPr>
  <dimension ref="A1:R64"/>
  <sheetViews>
    <sheetView zoomScaleNormal="100" workbookViewId="0">
      <pane xSplit="3" ySplit="4" topLeftCell="D5" activePane="bottomRight" state="frozen"/>
      <selection pane="bottomRight" activeCell="O63" sqref="O63"/>
      <selection pane="bottomLeft" activeCell="A5" sqref="A5"/>
      <selection pane="topRight" activeCell="C1" sqref="C1"/>
    </sheetView>
  </sheetViews>
  <sheetFormatPr defaultColWidth="9.28515625" defaultRowHeight="24"/>
  <cols>
    <col min="1" max="1" width="5.7109375" style="1" customWidth="1"/>
    <col min="2" max="2" width="9.28515625" style="2" customWidth="1"/>
    <col min="3" max="3" width="31.42578125" style="2" customWidth="1"/>
    <col min="4" max="14" width="5" style="1" customWidth="1"/>
    <col min="15" max="16" width="9.28515625" style="1"/>
    <col min="17" max="17" width="9.28515625" style="1" customWidth="1"/>
    <col min="18" max="16384" width="9.28515625" style="1"/>
  </cols>
  <sheetData>
    <row r="1" spans="1:18">
      <c r="A1" s="68" t="s">
        <v>100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2.5" customHeight="1">
      <c r="A2" s="62" t="s">
        <v>24</v>
      </c>
      <c r="B2" s="70" t="s">
        <v>25</v>
      </c>
      <c r="C2" s="64" t="s">
        <v>26</v>
      </c>
      <c r="D2" s="69" t="s">
        <v>101</v>
      </c>
      <c r="E2" s="69"/>
      <c r="F2" s="69"/>
      <c r="G2" s="69"/>
      <c r="H2" s="69"/>
      <c r="I2" s="69"/>
      <c r="J2" s="69"/>
      <c r="K2" s="69"/>
      <c r="L2" s="69"/>
      <c r="M2" s="69"/>
      <c r="N2" s="69" t="s">
        <v>28</v>
      </c>
      <c r="O2" s="17"/>
      <c r="P2" s="17"/>
      <c r="Q2" s="17"/>
      <c r="R2" s="17"/>
    </row>
    <row r="3" spans="1:18" ht="110.25" customHeight="1">
      <c r="A3" s="62"/>
      <c r="B3" s="71"/>
      <c r="C3" s="64"/>
      <c r="D3" s="9" t="s">
        <v>35</v>
      </c>
      <c r="E3" s="9" t="s">
        <v>30</v>
      </c>
      <c r="F3" s="9" t="s">
        <v>40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69"/>
      <c r="O3" s="17"/>
      <c r="P3" s="17"/>
      <c r="Q3" s="17"/>
      <c r="R3" s="17"/>
    </row>
    <row r="4" spans="1:18" ht="21.75" customHeight="1">
      <c r="A4" s="62"/>
      <c r="B4" s="72"/>
      <c r="C4" s="58" t="s">
        <v>34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55" t="str">
        <f>IF(AND(ISBLANK(D4)=TRUE,ISBLANK(E4)=TRUE,ISBLANK(F4)=TRUE,ISBLANK(G4)=TRUE,ISBLANK(H4)=TRUE,ISBLANK(I4)=TRUE,ISBLANK(J4)=TRUE,ISBLANK(K4)=TRUE,ISBLANK(L4)=TRUE,ISBLANK(M4)=TRUE),"",SUM(D4:M4))</f>
        <v/>
      </c>
      <c r="O4" s="17"/>
      <c r="P4" s="17"/>
      <c r="Q4" s="17"/>
      <c r="R4" s="17"/>
    </row>
    <row r="5" spans="1:18">
      <c r="A5" s="27" t="str">
        <f>คะแนนเก็บ!A5</f>
        <v>1</v>
      </c>
      <c r="B5" s="25" t="str">
        <f>คะแนนเก็บ!B5</f>
        <v>123</v>
      </c>
      <c r="C5" s="25" t="str">
        <f>คะแนนเก็บ!C5</f>
        <v>เด็กชายจับจ่าย รักโรงเรียน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55" t="str">
        <f t="shared" ref="N5:N64" si="0">IF(AND(ISBLANK(D5)=TRUE,ISBLANK(E5)=TRUE,ISBLANK(F5)=TRUE,ISBLANK(G5)=TRUE,ISBLANK(H5)=TRUE,ISBLANK(I5)=TRUE,ISBLANK(J5)=TRUE,ISBLANK(K5)=TRUE,ISBLANK(L5)=TRUE,ISBLANK(M5)=TRUE),"",SUM(D5:M5))</f>
        <v/>
      </c>
      <c r="O5" s="17"/>
      <c r="P5" s="17"/>
      <c r="Q5" s="17"/>
      <c r="R5" s="17"/>
    </row>
    <row r="6" spans="1:18">
      <c r="A6" s="27" t="str">
        <f>คะแนนเก็บ!A6</f>
        <v>2</v>
      </c>
      <c r="B6" s="25" t="str">
        <f>คะแนนเก็บ!B6</f>
        <v>456</v>
      </c>
      <c r="C6" s="25" t="str">
        <f>คะแนนเก็บ!C6</f>
        <v>เด็กชายสคูล ไบร์ท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55" t="str">
        <f t="shared" si="0"/>
        <v/>
      </c>
      <c r="O6" s="17"/>
      <c r="P6" s="17"/>
      <c r="Q6" s="17"/>
      <c r="R6" s="17"/>
    </row>
    <row r="7" spans="1:18">
      <c r="A7" s="27" t="str">
        <f>คะแนนเก็บ!A7</f>
        <v>3</v>
      </c>
      <c r="B7" s="25" t="str">
        <f>คะแนนเก็บ!B7</f>
        <v>A123</v>
      </c>
      <c r="C7" s="25" t="str">
        <f>คะแนนเก็บ!C7</f>
        <v>เด็กหญิงน้ำเพชร ใจดี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55" t="str">
        <f t="shared" si="0"/>
        <v/>
      </c>
      <c r="O7" s="17"/>
      <c r="P7" s="17"/>
      <c r="Q7" s="17"/>
      <c r="R7" s="17"/>
    </row>
    <row r="8" spans="1:18">
      <c r="A8" s="27" t="str">
        <f>คะแนนเก็บ!A8</f>
        <v>4</v>
      </c>
      <c r="B8" s="25">
        <f>คะแนนเก็บ!B8</f>
        <v>0</v>
      </c>
      <c r="C8" s="25">
        <f>คะแนนเก็บ!C8</f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55" t="str">
        <f t="shared" si="0"/>
        <v/>
      </c>
      <c r="O8" s="17"/>
      <c r="P8" s="17"/>
      <c r="Q8" s="17"/>
      <c r="R8" s="17"/>
    </row>
    <row r="9" spans="1:18">
      <c r="A9" s="27" t="str">
        <f>คะแนนเก็บ!A9</f>
        <v>5</v>
      </c>
      <c r="B9" s="25">
        <f>คะแนนเก็บ!B9</f>
        <v>0</v>
      </c>
      <c r="C9" s="25">
        <f>คะแนนเก็บ!C9</f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55" t="str">
        <f t="shared" si="0"/>
        <v/>
      </c>
      <c r="O9" s="17"/>
      <c r="P9" s="17"/>
      <c r="Q9" s="17"/>
      <c r="R9" s="17"/>
    </row>
    <row r="10" spans="1:18">
      <c r="A10" s="27" t="str">
        <f>คะแนนเก็บ!A10</f>
        <v>6</v>
      </c>
      <c r="B10" s="25">
        <f>คะแนนเก็บ!B10</f>
        <v>0</v>
      </c>
      <c r="C10" s="25">
        <f>คะแนนเก็บ!C10</f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5" t="str">
        <f t="shared" si="0"/>
        <v/>
      </c>
      <c r="O10" s="17"/>
      <c r="P10" s="17"/>
      <c r="Q10" s="17"/>
      <c r="R10" s="17"/>
    </row>
    <row r="11" spans="1:18">
      <c r="A11" s="27" t="str">
        <f>คะแนนเก็บ!A11</f>
        <v>7</v>
      </c>
      <c r="B11" s="25">
        <f>คะแนนเก็บ!B11</f>
        <v>0</v>
      </c>
      <c r="C11" s="25">
        <f>คะแนนเก็บ!C11</f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55" t="str">
        <f t="shared" si="0"/>
        <v/>
      </c>
      <c r="O11" s="17"/>
      <c r="P11" s="17"/>
      <c r="Q11" s="17"/>
      <c r="R11" s="17"/>
    </row>
    <row r="12" spans="1:18">
      <c r="A12" s="27" t="str">
        <f>คะแนนเก็บ!A12</f>
        <v>8</v>
      </c>
      <c r="B12" s="25">
        <f>คะแนนเก็บ!B12</f>
        <v>0</v>
      </c>
      <c r="C12" s="25">
        <f>คะแนนเก็บ!C12</f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55" t="str">
        <f t="shared" si="0"/>
        <v/>
      </c>
      <c r="O12" s="17"/>
      <c r="P12" s="17"/>
      <c r="Q12" s="17"/>
      <c r="R12" s="17"/>
    </row>
    <row r="13" spans="1:18">
      <c r="A13" s="27" t="str">
        <f>คะแนนเก็บ!A13</f>
        <v>9</v>
      </c>
      <c r="B13" s="25">
        <f>คะแนนเก็บ!B13</f>
        <v>0</v>
      </c>
      <c r="C13" s="25">
        <f>คะแนนเก็บ!C13</f>
        <v>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55" t="str">
        <f t="shared" si="0"/>
        <v/>
      </c>
      <c r="O13" s="17"/>
      <c r="P13" s="17"/>
      <c r="Q13" s="17"/>
      <c r="R13" s="17"/>
    </row>
    <row r="14" spans="1:18">
      <c r="A14" s="27" t="str">
        <f>คะแนนเก็บ!A14</f>
        <v>10</v>
      </c>
      <c r="B14" s="25">
        <f>คะแนนเก็บ!B14</f>
        <v>0</v>
      </c>
      <c r="C14" s="25">
        <f>คะแนนเก็บ!C14</f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55" t="str">
        <f t="shared" si="0"/>
        <v/>
      </c>
      <c r="O14" s="17"/>
      <c r="P14" s="17"/>
      <c r="Q14" s="17"/>
      <c r="R14" s="17"/>
    </row>
    <row r="15" spans="1:18">
      <c r="A15" s="27" t="str">
        <f>คะแนนเก็บ!A15</f>
        <v>11</v>
      </c>
      <c r="B15" s="25">
        <f>คะแนนเก็บ!B15</f>
        <v>0</v>
      </c>
      <c r="C15" s="25">
        <f>คะแนนเก็บ!C15</f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55" t="str">
        <f t="shared" si="0"/>
        <v/>
      </c>
      <c r="O15" s="17"/>
      <c r="P15" s="17"/>
      <c r="Q15" s="17"/>
      <c r="R15" s="17"/>
    </row>
    <row r="16" spans="1:18">
      <c r="A16" s="27" t="str">
        <f>คะแนนเก็บ!A16</f>
        <v>12</v>
      </c>
      <c r="B16" s="25">
        <f>คะแนนเก็บ!B16</f>
        <v>0</v>
      </c>
      <c r="C16" s="25">
        <f>คะแนนเก็บ!C16</f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55" t="str">
        <f t="shared" si="0"/>
        <v/>
      </c>
      <c r="O16" s="17"/>
      <c r="P16" s="17"/>
      <c r="Q16" s="17"/>
      <c r="R16" s="17"/>
    </row>
    <row r="17" spans="1:18">
      <c r="A17" s="27" t="str">
        <f>คะแนนเก็บ!A17</f>
        <v>13</v>
      </c>
      <c r="B17" s="25">
        <f>คะแนนเก็บ!B17</f>
        <v>0</v>
      </c>
      <c r="C17" s="25">
        <f>คะแนนเก็บ!C17</f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55" t="str">
        <f t="shared" si="0"/>
        <v/>
      </c>
      <c r="O17" s="17"/>
      <c r="P17" s="17"/>
      <c r="Q17" s="17"/>
      <c r="R17" s="17"/>
    </row>
    <row r="18" spans="1:18">
      <c r="A18" s="27" t="str">
        <f>คะแนนเก็บ!A18</f>
        <v>14</v>
      </c>
      <c r="B18" s="25">
        <f>คะแนนเก็บ!B18</f>
        <v>0</v>
      </c>
      <c r="C18" s="25">
        <f>คะแนนเก็บ!C18</f>
        <v>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55" t="str">
        <f t="shared" si="0"/>
        <v/>
      </c>
      <c r="O18" s="17"/>
      <c r="P18" s="17"/>
      <c r="Q18" s="17"/>
      <c r="R18" s="17"/>
    </row>
    <row r="19" spans="1:18">
      <c r="A19" s="27" t="str">
        <f>คะแนนเก็บ!A19</f>
        <v>15</v>
      </c>
      <c r="B19" s="25">
        <f>คะแนนเก็บ!B19</f>
        <v>0</v>
      </c>
      <c r="C19" s="25">
        <f>คะแนนเก็บ!C19</f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55" t="str">
        <f t="shared" si="0"/>
        <v/>
      </c>
      <c r="O19" s="17"/>
      <c r="P19" s="17"/>
      <c r="Q19" s="17"/>
      <c r="R19" s="17"/>
    </row>
    <row r="20" spans="1:18">
      <c r="A20" s="27" t="str">
        <f>คะแนนเก็บ!A20</f>
        <v>16</v>
      </c>
      <c r="B20" s="25">
        <f>คะแนนเก็บ!B20</f>
        <v>0</v>
      </c>
      <c r="C20" s="25">
        <f>คะแนนเก็บ!C20</f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55" t="str">
        <f t="shared" si="0"/>
        <v/>
      </c>
      <c r="O20" s="17"/>
      <c r="P20" s="17"/>
      <c r="Q20" s="17"/>
      <c r="R20" s="17"/>
    </row>
    <row r="21" spans="1:18">
      <c r="A21" s="27" t="str">
        <f>คะแนนเก็บ!A21</f>
        <v>17</v>
      </c>
      <c r="B21" s="25">
        <f>คะแนนเก็บ!B21</f>
        <v>0</v>
      </c>
      <c r="C21" s="25">
        <f>คะแนนเก็บ!C21</f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55" t="str">
        <f t="shared" si="0"/>
        <v/>
      </c>
      <c r="O21" s="17"/>
      <c r="P21" s="17"/>
      <c r="Q21" s="17"/>
      <c r="R21" s="17"/>
    </row>
    <row r="22" spans="1:18">
      <c r="A22" s="27" t="str">
        <f>คะแนนเก็บ!A22</f>
        <v>18</v>
      </c>
      <c r="B22" s="25">
        <f>คะแนนเก็บ!B22</f>
        <v>0</v>
      </c>
      <c r="C22" s="25">
        <f>คะแนนเก็บ!C22</f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55" t="str">
        <f t="shared" si="0"/>
        <v/>
      </c>
      <c r="O22" s="17"/>
      <c r="P22" s="17"/>
      <c r="Q22" s="17"/>
      <c r="R22" s="17"/>
    </row>
    <row r="23" spans="1:18">
      <c r="A23" s="27" t="str">
        <f>คะแนนเก็บ!A23</f>
        <v>19</v>
      </c>
      <c r="B23" s="25">
        <f>คะแนนเก็บ!B23</f>
        <v>0</v>
      </c>
      <c r="C23" s="25">
        <f>คะแนนเก็บ!C23</f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55" t="str">
        <f t="shared" si="0"/>
        <v/>
      </c>
      <c r="O23" s="17"/>
      <c r="P23" s="17"/>
      <c r="Q23" s="17"/>
      <c r="R23" s="17"/>
    </row>
    <row r="24" spans="1:18">
      <c r="A24" s="27" t="str">
        <f>คะแนนเก็บ!A24</f>
        <v>20</v>
      </c>
      <c r="B24" s="25">
        <f>คะแนนเก็บ!B24</f>
        <v>0</v>
      </c>
      <c r="C24" s="25">
        <f>คะแนนเก็บ!C24</f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55" t="str">
        <f t="shared" si="0"/>
        <v/>
      </c>
      <c r="O24" s="17"/>
      <c r="P24" s="17"/>
      <c r="Q24" s="17"/>
      <c r="R24" s="17"/>
    </row>
    <row r="25" spans="1:18">
      <c r="A25" s="27" t="str">
        <f>คะแนนเก็บ!A25</f>
        <v>21</v>
      </c>
      <c r="B25" s="25">
        <f>คะแนนเก็บ!B25</f>
        <v>0</v>
      </c>
      <c r="C25" s="25">
        <f>คะแนนเก็บ!C25</f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55" t="str">
        <f t="shared" si="0"/>
        <v/>
      </c>
      <c r="O25" s="17"/>
      <c r="P25" s="17"/>
      <c r="Q25" s="17"/>
      <c r="R25" s="17"/>
    </row>
    <row r="26" spans="1:18">
      <c r="A26" s="27" t="str">
        <f>คะแนนเก็บ!A26</f>
        <v>22</v>
      </c>
      <c r="B26" s="25">
        <f>คะแนนเก็บ!B26</f>
        <v>0</v>
      </c>
      <c r="C26" s="25">
        <f>คะแนนเก็บ!C26</f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55" t="str">
        <f t="shared" si="0"/>
        <v/>
      </c>
      <c r="O26" s="17"/>
      <c r="P26" s="17"/>
      <c r="Q26" s="17"/>
      <c r="R26" s="17"/>
    </row>
    <row r="27" spans="1:18">
      <c r="A27" s="27" t="str">
        <f>คะแนนเก็บ!A27</f>
        <v>23</v>
      </c>
      <c r="B27" s="25">
        <f>คะแนนเก็บ!B27</f>
        <v>0</v>
      </c>
      <c r="C27" s="25">
        <f>คะแนนเก็บ!C27</f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55" t="str">
        <f t="shared" si="0"/>
        <v/>
      </c>
      <c r="O27" s="17"/>
      <c r="P27" s="17"/>
      <c r="Q27" s="17"/>
      <c r="R27" s="17"/>
    </row>
    <row r="28" spans="1:18">
      <c r="A28" s="27" t="str">
        <f>คะแนนเก็บ!A28</f>
        <v>24</v>
      </c>
      <c r="B28" s="25">
        <f>คะแนนเก็บ!B28</f>
        <v>0</v>
      </c>
      <c r="C28" s="25">
        <f>คะแนนเก็บ!C28</f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55" t="str">
        <f t="shared" si="0"/>
        <v/>
      </c>
      <c r="O28" s="17"/>
      <c r="P28" s="17"/>
      <c r="Q28" s="17"/>
      <c r="R28" s="17"/>
    </row>
    <row r="29" spans="1:18">
      <c r="A29" s="27" t="str">
        <f>คะแนนเก็บ!A29</f>
        <v>25</v>
      </c>
      <c r="B29" s="25">
        <f>คะแนนเก็บ!B29</f>
        <v>0</v>
      </c>
      <c r="C29" s="25">
        <f>คะแนนเก็บ!C29</f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55" t="str">
        <f t="shared" si="0"/>
        <v/>
      </c>
      <c r="O29" s="17"/>
      <c r="P29" s="17"/>
      <c r="Q29" s="17"/>
      <c r="R29" s="17"/>
    </row>
    <row r="30" spans="1:18">
      <c r="A30" s="27" t="str">
        <f>คะแนนเก็บ!A30</f>
        <v>26</v>
      </c>
      <c r="B30" s="25">
        <f>คะแนนเก็บ!B30</f>
        <v>0</v>
      </c>
      <c r="C30" s="25">
        <f>คะแนนเก็บ!C30</f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55" t="str">
        <f t="shared" si="0"/>
        <v/>
      </c>
      <c r="O30" s="17"/>
      <c r="P30" s="17"/>
      <c r="Q30" s="17"/>
      <c r="R30" s="17"/>
    </row>
    <row r="31" spans="1:18">
      <c r="A31" s="27" t="str">
        <f>คะแนนเก็บ!A31</f>
        <v>27</v>
      </c>
      <c r="B31" s="25">
        <f>คะแนนเก็บ!B31</f>
        <v>0</v>
      </c>
      <c r="C31" s="25">
        <f>คะแนนเก็บ!C31</f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55" t="str">
        <f t="shared" si="0"/>
        <v/>
      </c>
      <c r="O31" s="17"/>
      <c r="P31" s="17"/>
      <c r="Q31" s="17"/>
      <c r="R31" s="17"/>
    </row>
    <row r="32" spans="1:18">
      <c r="A32" s="27" t="str">
        <f>คะแนนเก็บ!A32</f>
        <v>28</v>
      </c>
      <c r="B32" s="25">
        <f>คะแนนเก็บ!B32</f>
        <v>0</v>
      </c>
      <c r="C32" s="25">
        <f>คะแนนเก็บ!C32</f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55" t="str">
        <f t="shared" si="0"/>
        <v/>
      </c>
      <c r="O32" s="17"/>
      <c r="P32" s="17"/>
      <c r="Q32" s="17"/>
      <c r="R32" s="17"/>
    </row>
    <row r="33" spans="1:18">
      <c r="A33" s="27" t="str">
        <f>คะแนนเก็บ!A33</f>
        <v>29</v>
      </c>
      <c r="B33" s="25">
        <f>คะแนนเก็บ!B33</f>
        <v>0</v>
      </c>
      <c r="C33" s="25">
        <f>คะแนนเก็บ!C33</f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55" t="str">
        <f t="shared" si="0"/>
        <v/>
      </c>
      <c r="O33" s="17"/>
      <c r="P33" s="17"/>
      <c r="Q33" s="17"/>
      <c r="R33" s="17"/>
    </row>
    <row r="34" spans="1:18">
      <c r="A34" s="27" t="str">
        <f>คะแนนเก็บ!A34</f>
        <v>30</v>
      </c>
      <c r="B34" s="25">
        <f>คะแนนเก็บ!B34</f>
        <v>0</v>
      </c>
      <c r="C34" s="25">
        <f>คะแนนเก็บ!C34</f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55" t="str">
        <f t="shared" si="0"/>
        <v/>
      </c>
      <c r="O34" s="17"/>
      <c r="P34" s="17"/>
      <c r="Q34" s="17"/>
      <c r="R34" s="17"/>
    </row>
    <row r="35" spans="1:18">
      <c r="A35" s="27" t="str">
        <f>คะแนนเก็บ!A35</f>
        <v>31</v>
      </c>
      <c r="B35" s="25">
        <f>คะแนนเก็บ!B35</f>
        <v>0</v>
      </c>
      <c r="C35" s="25">
        <f>คะแนนเก็บ!C35</f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55" t="str">
        <f t="shared" si="0"/>
        <v/>
      </c>
      <c r="O35" s="17"/>
      <c r="P35" s="17"/>
      <c r="Q35" s="17"/>
      <c r="R35" s="17"/>
    </row>
    <row r="36" spans="1:18">
      <c r="A36" s="27" t="str">
        <f>คะแนนเก็บ!A36</f>
        <v>32</v>
      </c>
      <c r="B36" s="25">
        <f>คะแนนเก็บ!B36</f>
        <v>0</v>
      </c>
      <c r="C36" s="25">
        <f>คะแนนเก็บ!C36</f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55" t="str">
        <f t="shared" si="0"/>
        <v/>
      </c>
      <c r="O36" s="17"/>
      <c r="P36" s="17"/>
      <c r="Q36" s="17"/>
      <c r="R36" s="17"/>
    </row>
    <row r="37" spans="1:18">
      <c r="A37" s="27" t="str">
        <f>คะแนนเก็บ!A37</f>
        <v>33</v>
      </c>
      <c r="B37" s="25">
        <f>คะแนนเก็บ!B37</f>
        <v>0</v>
      </c>
      <c r="C37" s="25">
        <f>คะแนนเก็บ!C37</f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55" t="str">
        <f t="shared" si="0"/>
        <v/>
      </c>
      <c r="O37" s="17"/>
      <c r="P37" s="17"/>
      <c r="Q37" s="17"/>
      <c r="R37" s="17"/>
    </row>
    <row r="38" spans="1:18">
      <c r="A38" s="27" t="str">
        <f>คะแนนเก็บ!A38</f>
        <v>34</v>
      </c>
      <c r="B38" s="25">
        <f>คะแนนเก็บ!B38</f>
        <v>0</v>
      </c>
      <c r="C38" s="25">
        <f>คะแนนเก็บ!C38</f>
        <v>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55" t="str">
        <f t="shared" si="0"/>
        <v/>
      </c>
      <c r="O38" s="17"/>
      <c r="P38" s="17"/>
      <c r="Q38" s="17"/>
      <c r="R38" s="17"/>
    </row>
    <row r="39" spans="1:18">
      <c r="A39" s="27" t="str">
        <f>คะแนนเก็บ!A39</f>
        <v>35</v>
      </c>
      <c r="B39" s="25">
        <f>คะแนนเก็บ!B39</f>
        <v>0</v>
      </c>
      <c r="C39" s="25">
        <f>คะแนนเก็บ!C39</f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55" t="str">
        <f t="shared" si="0"/>
        <v/>
      </c>
      <c r="O39" s="17"/>
      <c r="P39" s="17"/>
      <c r="Q39" s="17"/>
      <c r="R39" s="17"/>
    </row>
    <row r="40" spans="1:18">
      <c r="A40" s="27" t="str">
        <f>คะแนนเก็บ!A40</f>
        <v>36</v>
      </c>
      <c r="B40" s="25">
        <f>คะแนนเก็บ!B40</f>
        <v>0</v>
      </c>
      <c r="C40" s="25">
        <f>คะแนนเก็บ!C40</f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55" t="str">
        <f t="shared" si="0"/>
        <v/>
      </c>
      <c r="O40" s="17"/>
      <c r="P40" s="17"/>
      <c r="Q40" s="17"/>
      <c r="R40" s="17"/>
    </row>
    <row r="41" spans="1:18">
      <c r="A41" s="27" t="str">
        <f>คะแนนเก็บ!A41</f>
        <v>37</v>
      </c>
      <c r="B41" s="25">
        <f>คะแนนเก็บ!B41</f>
        <v>0</v>
      </c>
      <c r="C41" s="25">
        <f>คะแนนเก็บ!C41</f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55" t="str">
        <f t="shared" si="0"/>
        <v/>
      </c>
      <c r="O41" s="17"/>
      <c r="P41" s="17"/>
      <c r="Q41" s="17"/>
      <c r="R41" s="17"/>
    </row>
    <row r="42" spans="1:18">
      <c r="A42" s="27" t="str">
        <f>คะแนนเก็บ!A42</f>
        <v>38</v>
      </c>
      <c r="B42" s="25">
        <f>คะแนนเก็บ!B42</f>
        <v>0</v>
      </c>
      <c r="C42" s="25">
        <f>คะแนนเก็บ!C42</f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55" t="str">
        <f t="shared" si="0"/>
        <v/>
      </c>
      <c r="O42" s="17"/>
      <c r="P42" s="17"/>
      <c r="Q42" s="17"/>
      <c r="R42" s="17"/>
    </row>
    <row r="43" spans="1:18">
      <c r="A43" s="27" t="str">
        <f>คะแนนเก็บ!A43</f>
        <v>39</v>
      </c>
      <c r="B43" s="25">
        <f>คะแนนเก็บ!B43</f>
        <v>0</v>
      </c>
      <c r="C43" s="25">
        <f>คะแนนเก็บ!C43</f>
        <v>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55" t="str">
        <f t="shared" si="0"/>
        <v/>
      </c>
      <c r="O43" s="17"/>
      <c r="P43" s="17"/>
      <c r="Q43" s="17"/>
      <c r="R43" s="17"/>
    </row>
    <row r="44" spans="1:18">
      <c r="A44" s="27" t="str">
        <f>คะแนนเก็บ!A44</f>
        <v>40</v>
      </c>
      <c r="B44" s="25">
        <f>คะแนนเก็บ!B44</f>
        <v>0</v>
      </c>
      <c r="C44" s="25">
        <f>คะแนนเก็บ!C44</f>
        <v>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55" t="str">
        <f t="shared" si="0"/>
        <v/>
      </c>
      <c r="O44" s="17"/>
      <c r="P44" s="17"/>
      <c r="Q44" s="17"/>
      <c r="R44" s="17"/>
    </row>
    <row r="45" spans="1:18">
      <c r="A45" s="27" t="str">
        <f>คะแนนเก็บ!A45</f>
        <v>41</v>
      </c>
      <c r="B45" s="25">
        <f>คะแนนเก็บ!B45</f>
        <v>0</v>
      </c>
      <c r="C45" s="25">
        <f>คะแนนเก็บ!C45</f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55" t="str">
        <f t="shared" si="0"/>
        <v/>
      </c>
      <c r="O45" s="17"/>
      <c r="P45" s="17"/>
      <c r="Q45" s="17"/>
      <c r="R45" s="17"/>
    </row>
    <row r="46" spans="1:18">
      <c r="A46" s="27" t="str">
        <f>คะแนนเก็บ!A46</f>
        <v>42</v>
      </c>
      <c r="B46" s="25">
        <f>คะแนนเก็บ!B46</f>
        <v>0</v>
      </c>
      <c r="C46" s="25">
        <f>คะแนนเก็บ!C46</f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55" t="str">
        <f t="shared" si="0"/>
        <v/>
      </c>
      <c r="O46" s="17"/>
      <c r="P46" s="17"/>
      <c r="Q46" s="17"/>
      <c r="R46" s="17"/>
    </row>
    <row r="47" spans="1:18">
      <c r="A47" s="27" t="str">
        <f>คะแนนเก็บ!A47</f>
        <v>43</v>
      </c>
      <c r="B47" s="25">
        <f>คะแนนเก็บ!B47</f>
        <v>0</v>
      </c>
      <c r="C47" s="25">
        <f>คะแนนเก็บ!C47</f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55" t="str">
        <f t="shared" si="0"/>
        <v/>
      </c>
      <c r="O47" s="17"/>
      <c r="P47" s="17"/>
      <c r="Q47" s="17"/>
      <c r="R47" s="17"/>
    </row>
    <row r="48" spans="1:18">
      <c r="A48" s="27" t="str">
        <f>คะแนนเก็บ!A48</f>
        <v>44</v>
      </c>
      <c r="B48" s="25">
        <f>คะแนนเก็บ!B48</f>
        <v>0</v>
      </c>
      <c r="C48" s="25">
        <f>คะแนนเก็บ!C48</f>
        <v>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55" t="str">
        <f t="shared" si="0"/>
        <v/>
      </c>
      <c r="O48" s="17"/>
      <c r="P48" s="17"/>
      <c r="Q48" s="17"/>
      <c r="R48" s="17"/>
    </row>
    <row r="49" spans="1:18">
      <c r="A49" s="27" t="str">
        <f>คะแนนเก็บ!A49</f>
        <v>45</v>
      </c>
      <c r="B49" s="25">
        <f>คะแนนเก็บ!B49</f>
        <v>0</v>
      </c>
      <c r="C49" s="25">
        <f>คะแนนเก็บ!C49</f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55" t="str">
        <f t="shared" si="0"/>
        <v/>
      </c>
      <c r="O49" s="17"/>
      <c r="P49" s="17"/>
      <c r="Q49" s="17"/>
      <c r="R49" s="17"/>
    </row>
    <row r="50" spans="1:18">
      <c r="A50" s="27" t="str">
        <f>คะแนนเก็บ!A50</f>
        <v>46</v>
      </c>
      <c r="B50" s="25">
        <f>คะแนนเก็บ!B50</f>
        <v>0</v>
      </c>
      <c r="C50" s="25">
        <f>คะแนนเก็บ!C50</f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55" t="str">
        <f t="shared" si="0"/>
        <v/>
      </c>
      <c r="O50" s="17"/>
      <c r="P50" s="17"/>
      <c r="Q50" s="17"/>
      <c r="R50" s="17"/>
    </row>
    <row r="51" spans="1:18">
      <c r="A51" s="27" t="str">
        <f>คะแนนเก็บ!A51</f>
        <v>47</v>
      </c>
      <c r="B51" s="25">
        <f>คะแนนเก็บ!B51</f>
        <v>0</v>
      </c>
      <c r="C51" s="25">
        <f>คะแนนเก็บ!C51</f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55" t="str">
        <f t="shared" si="0"/>
        <v/>
      </c>
    </row>
    <row r="52" spans="1:18">
      <c r="A52" s="27" t="str">
        <f>คะแนนเก็บ!A52</f>
        <v>48</v>
      </c>
      <c r="B52" s="25">
        <f>คะแนนเก็บ!B52</f>
        <v>0</v>
      </c>
      <c r="C52" s="25">
        <f>คะแนนเก็บ!C52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55" t="str">
        <f t="shared" si="0"/>
        <v/>
      </c>
    </row>
    <row r="53" spans="1:18">
      <c r="A53" s="27" t="str">
        <f>คะแนนเก็บ!A53</f>
        <v>49</v>
      </c>
      <c r="B53" s="25">
        <f>คะแนนเก็บ!B53</f>
        <v>0</v>
      </c>
      <c r="C53" s="25">
        <f>คะแนนเก็บ!C53</f>
        <v>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55" t="str">
        <f t="shared" si="0"/>
        <v/>
      </c>
    </row>
    <row r="54" spans="1:18">
      <c r="A54" s="27" t="str">
        <f>คะแนนเก็บ!A54</f>
        <v>50</v>
      </c>
      <c r="B54" s="25">
        <f>คะแนนเก็บ!B54</f>
        <v>0</v>
      </c>
      <c r="C54" s="25">
        <f>คะแนนเก็บ!C54</f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55" t="str">
        <f t="shared" si="0"/>
        <v/>
      </c>
    </row>
    <row r="55" spans="1:18">
      <c r="A55" s="27" t="str">
        <f>คะแนนเก็บ!A55</f>
        <v>51</v>
      </c>
      <c r="B55" s="25">
        <f>คะแนนเก็บ!B55</f>
        <v>0</v>
      </c>
      <c r="C55" s="25">
        <f>คะแนนเก็บ!C55</f>
        <v>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55" t="str">
        <f t="shared" si="0"/>
        <v/>
      </c>
    </row>
    <row r="56" spans="1:18">
      <c r="A56" s="27" t="str">
        <f>คะแนนเก็บ!A56</f>
        <v>52</v>
      </c>
      <c r="B56" s="25">
        <f>คะแนนเก็บ!B56</f>
        <v>0</v>
      </c>
      <c r="C56" s="25">
        <f>คะแนนเก็บ!C56</f>
        <v>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55" t="str">
        <f t="shared" si="0"/>
        <v/>
      </c>
    </row>
    <row r="57" spans="1:18">
      <c r="A57" s="27" t="str">
        <f>คะแนนเก็บ!A57</f>
        <v>53</v>
      </c>
      <c r="B57" s="25">
        <f>คะแนนเก็บ!B57</f>
        <v>0</v>
      </c>
      <c r="C57" s="25">
        <f>คะแนนเก็บ!C57</f>
        <v>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55" t="str">
        <f t="shared" si="0"/>
        <v/>
      </c>
    </row>
    <row r="58" spans="1:18">
      <c r="A58" s="27" t="str">
        <f>คะแนนเก็บ!A58</f>
        <v>54</v>
      </c>
      <c r="B58" s="25">
        <f>คะแนนเก็บ!B58</f>
        <v>0</v>
      </c>
      <c r="C58" s="25">
        <f>คะแนนเก็บ!C58</f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55" t="str">
        <f t="shared" si="0"/>
        <v/>
      </c>
    </row>
    <row r="59" spans="1:18">
      <c r="A59" s="27" t="str">
        <f>คะแนนเก็บ!A59</f>
        <v>55</v>
      </c>
      <c r="B59" s="25">
        <f>คะแนนเก็บ!B59</f>
        <v>0</v>
      </c>
      <c r="C59" s="25">
        <f>คะแนนเก็บ!C59</f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55" t="str">
        <f t="shared" si="0"/>
        <v/>
      </c>
    </row>
    <row r="60" spans="1:18">
      <c r="A60" s="27" t="str">
        <f>คะแนนเก็บ!A60</f>
        <v>56</v>
      </c>
      <c r="B60" s="25">
        <f>คะแนนเก็บ!B60</f>
        <v>0</v>
      </c>
      <c r="C60" s="25">
        <f>คะแนนเก็บ!C60</f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55" t="str">
        <f t="shared" si="0"/>
        <v/>
      </c>
    </row>
    <row r="61" spans="1:18">
      <c r="A61" s="27" t="str">
        <f>คะแนนเก็บ!A61</f>
        <v>57</v>
      </c>
      <c r="B61" s="25">
        <f>คะแนนเก็บ!B61</f>
        <v>0</v>
      </c>
      <c r="C61" s="25">
        <f>คะแนนเก็บ!C61</f>
        <v>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55" t="str">
        <f t="shared" si="0"/>
        <v/>
      </c>
    </row>
    <row r="62" spans="1:18">
      <c r="A62" s="27" t="str">
        <f>คะแนนเก็บ!A62</f>
        <v>58</v>
      </c>
      <c r="B62" s="25">
        <f>คะแนนเก็บ!B62</f>
        <v>0</v>
      </c>
      <c r="C62" s="25">
        <f>คะแนนเก็บ!C62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55" t="str">
        <f t="shared" si="0"/>
        <v/>
      </c>
    </row>
    <row r="63" spans="1:18">
      <c r="A63" s="27" t="str">
        <f>คะแนนเก็บ!A63</f>
        <v>59</v>
      </c>
      <c r="B63" s="25">
        <f>คะแนนเก็บ!B63</f>
        <v>0</v>
      </c>
      <c r="C63" s="25">
        <f>คะแนนเก็บ!C63</f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55" t="str">
        <f t="shared" si="0"/>
        <v/>
      </c>
    </row>
    <row r="64" spans="1:18">
      <c r="A64" s="27" t="str">
        <f>คะแนนเก็บ!A64</f>
        <v>60</v>
      </c>
      <c r="B64" s="25">
        <f>คะแนนเก็บ!B64</f>
        <v>0</v>
      </c>
      <c r="C64" s="25">
        <f>คะแนนเก็บ!C64</f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55" t="str">
        <f t="shared" si="0"/>
        <v/>
      </c>
    </row>
  </sheetData>
  <sheetProtection algorithmName="SHA-512" hashValue="q45cslEfX/MF18mkEKciTUhHLa7mTwLZGi/g/mtBQRYaJ7cyhTIHU7L8iTy2G9JMOTDvMItdvayvmRTvlbR/Ag==" saltValue="Q2nzgd+dVdyyTgAUJQwW2w==" spinCount="100000" sheet="1" selectLockedCells="1"/>
  <mergeCells count="6">
    <mergeCell ref="A2:A4"/>
    <mergeCell ref="A1:R1"/>
    <mergeCell ref="B2:B4"/>
    <mergeCell ref="C2:C3"/>
    <mergeCell ref="D2:M2"/>
    <mergeCell ref="N2:N3"/>
  </mergeCells>
  <conditionalFormatting sqref="B5:B64">
    <cfRule type="cellIs" dxfId="12" priority="5" operator="between">
      <formula>1</formula>
      <formula>100000</formula>
    </cfRule>
    <cfRule type="cellIs" dxfId="11" priority="6" operator="greaterThan">
      <formula>"q"</formula>
    </cfRule>
    <cfRule type="containsText" dxfId="10" priority="7" operator="containsText" text="1234567890">
      <formula>NOT(ISERROR(SEARCH("1234567890",B5)))</formula>
    </cfRule>
  </conditionalFormatting>
  <conditionalFormatting sqref="B5:C64">
    <cfRule type="cellIs" dxfId="9" priority="1" operator="equal">
      <formula>0</formula>
    </cfRule>
    <cfRule type="cellIs" dxfId="8" priority="2" operator="greaterThan">
      <formula>0</formula>
    </cfRule>
  </conditionalFormatting>
  <conditionalFormatting sqref="N4:N64">
    <cfRule type="cellIs" dxfId="7" priority="9" operator="equal">
      <formula>0</formula>
    </cfRule>
  </conditionalFormatting>
  <dataValidations count="2">
    <dataValidation type="whole" allowBlank="1" showInputMessage="1" showErrorMessage="1" error="1. คะแนนเต็มต้องอยู่ระหว่าง 0-999 เท่านั้น_x000a_2. ระบุเป็นตัวเลขได้เท่านั้น" sqref="D4:M4" xr:uid="{A52C73FC-3EBA-403F-9F40-5D38B1B70444}">
      <formula1>0</formula1>
      <formula2>999</formula2>
    </dataValidation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M64" xr:uid="{64E114ED-72D9-4734-8EA3-0515C944187F}">
      <formula1>D$4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30FD-C443-4CC1-A13A-5FC920D723DC}">
  <sheetPr>
    <tabColor rgb="FFFFFF93"/>
  </sheetPr>
  <dimension ref="A1:AB64"/>
  <sheetViews>
    <sheetView zoomScaleNormal="100" workbookViewId="0">
      <pane xSplit="3" ySplit="4" topLeftCell="D5" activePane="bottomRight" state="frozen"/>
      <selection pane="bottomRight" activeCell="U5" sqref="U5"/>
      <selection pane="bottomLeft" activeCell="A5" sqref="A5"/>
      <selection pane="topRight" activeCell="C1" sqref="C1"/>
    </sheetView>
  </sheetViews>
  <sheetFormatPr defaultColWidth="9.28515625" defaultRowHeight="24"/>
  <cols>
    <col min="1" max="1" width="5.7109375" style="1" customWidth="1"/>
    <col min="2" max="2" width="9.28515625" style="2" customWidth="1"/>
    <col min="3" max="3" width="31.42578125" style="2" customWidth="1"/>
    <col min="4" max="23" width="5" style="1" customWidth="1"/>
    <col min="24" max="24" width="5" style="4" customWidth="1"/>
    <col min="25" max="26" width="9.28515625" style="1"/>
    <col min="27" max="27" width="9.28515625" style="1" customWidth="1"/>
    <col min="28" max="16384" width="9.28515625" style="1"/>
  </cols>
  <sheetData>
    <row r="1" spans="1:28">
      <c r="A1" s="68" t="s">
        <v>102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3"/>
      <c r="Z1" s="3"/>
      <c r="AA1" s="3"/>
      <c r="AB1" s="3"/>
    </row>
    <row r="2" spans="1:28" ht="22.5" customHeight="1">
      <c r="A2" s="62" t="s">
        <v>24</v>
      </c>
      <c r="B2" s="62" t="s">
        <v>25</v>
      </c>
      <c r="C2" s="64" t="s">
        <v>26</v>
      </c>
      <c r="D2" s="69" t="s">
        <v>101</v>
      </c>
      <c r="E2" s="69"/>
      <c r="F2" s="69"/>
      <c r="G2" s="69"/>
      <c r="H2" s="69"/>
      <c r="I2" s="69"/>
      <c r="J2" s="69"/>
      <c r="K2" s="69"/>
      <c r="L2" s="69"/>
      <c r="M2" s="69"/>
      <c r="N2" s="58"/>
      <c r="O2" s="58"/>
      <c r="P2" s="58"/>
      <c r="Q2" s="58"/>
      <c r="R2" s="58"/>
      <c r="S2" s="58"/>
      <c r="T2" s="58"/>
      <c r="U2" s="58"/>
      <c r="V2" s="58"/>
      <c r="W2" s="58"/>
      <c r="X2" s="63" t="s">
        <v>28</v>
      </c>
    </row>
    <row r="3" spans="1:28" ht="110.25" customHeight="1">
      <c r="A3" s="62"/>
      <c r="B3" s="62"/>
      <c r="C3" s="64"/>
      <c r="D3" s="19" t="s">
        <v>103</v>
      </c>
      <c r="E3" s="19" t="s">
        <v>104</v>
      </c>
      <c r="F3" s="19" t="s">
        <v>105</v>
      </c>
      <c r="G3" s="19" t="s">
        <v>106</v>
      </c>
      <c r="H3" s="19" t="s">
        <v>107</v>
      </c>
      <c r="I3" s="19" t="s">
        <v>108</v>
      </c>
      <c r="J3" s="19" t="s">
        <v>109</v>
      </c>
      <c r="K3" s="19" t="s">
        <v>110</v>
      </c>
      <c r="L3" s="9">
        <v>9</v>
      </c>
      <c r="M3" s="9">
        <v>10</v>
      </c>
      <c r="N3" s="9">
        <v>11</v>
      </c>
      <c r="O3" s="9">
        <v>12</v>
      </c>
      <c r="P3" s="9">
        <v>13</v>
      </c>
      <c r="Q3" s="9">
        <v>14</v>
      </c>
      <c r="R3" s="9">
        <v>15</v>
      </c>
      <c r="S3" s="9">
        <v>16</v>
      </c>
      <c r="T3" s="9">
        <v>17</v>
      </c>
      <c r="U3" s="9">
        <v>18</v>
      </c>
      <c r="V3" s="9">
        <v>19</v>
      </c>
      <c r="W3" s="9">
        <v>20</v>
      </c>
      <c r="X3" s="63"/>
    </row>
    <row r="4" spans="1:28" ht="21.75" customHeight="1">
      <c r="A4" s="62"/>
      <c r="B4" s="62"/>
      <c r="C4" s="58" t="s">
        <v>34</v>
      </c>
      <c r="D4" s="20">
        <v>3</v>
      </c>
      <c r="E4" s="20">
        <v>3</v>
      </c>
      <c r="F4" s="20">
        <v>3</v>
      </c>
      <c r="G4" s="20">
        <v>3</v>
      </c>
      <c r="H4" s="20">
        <v>3</v>
      </c>
      <c r="I4" s="20">
        <v>3</v>
      </c>
      <c r="J4" s="20">
        <v>3</v>
      </c>
      <c r="K4" s="20">
        <v>3</v>
      </c>
      <c r="L4" s="2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28">
        <f>IFERROR(MAX(_xlfn.MODE.MULT(D4:W4)), "")</f>
        <v>3</v>
      </c>
      <c r="Y4" s="52" t="s">
        <v>111</v>
      </c>
    </row>
    <row r="5" spans="1:28">
      <c r="A5" s="27" t="str">
        <f>คะแนนเก็บ!A5</f>
        <v>1</v>
      </c>
      <c r="B5" s="25" t="str">
        <f>คะแนนเก็บ!B5</f>
        <v>123</v>
      </c>
      <c r="C5" s="25" t="str">
        <f>คะแนนเก็บ!C5</f>
        <v>เด็กชายจับจ่าย รักโรงเรียน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28" t="str">
        <f>IFERROR(MAX(_xlfn.MODE.MULT(D5:W5)), "")</f>
        <v/>
      </c>
    </row>
    <row r="6" spans="1:28">
      <c r="A6" s="27" t="str">
        <f>คะแนนเก็บ!A6</f>
        <v>2</v>
      </c>
      <c r="B6" s="25" t="str">
        <f>คะแนนเก็บ!B6</f>
        <v>456</v>
      </c>
      <c r="C6" s="25" t="str">
        <f>คะแนนเก็บ!C6</f>
        <v>เด็กชายสคูล ไบร์ท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28" t="str">
        <f t="shared" ref="X6:X64" si="0">IFERROR(MAX(_xlfn.MODE.MULT(D6:W6)), "")</f>
        <v/>
      </c>
    </row>
    <row r="7" spans="1:28">
      <c r="A7" s="27" t="str">
        <f>คะแนนเก็บ!A7</f>
        <v>3</v>
      </c>
      <c r="B7" s="25" t="str">
        <f>คะแนนเก็บ!B7</f>
        <v>A123</v>
      </c>
      <c r="C7" s="25" t="str">
        <f>คะแนนเก็บ!C7</f>
        <v>เด็กหญิงน้ำเพชร ใจดี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28" t="str">
        <f t="shared" si="0"/>
        <v/>
      </c>
    </row>
    <row r="8" spans="1:28">
      <c r="A8" s="27" t="str">
        <f>คะแนนเก็บ!A8</f>
        <v>4</v>
      </c>
      <c r="B8" s="25">
        <f>คะแนนเก็บ!B8</f>
        <v>0</v>
      </c>
      <c r="C8" s="25">
        <f>คะแนนเก็บ!C8</f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28" t="str">
        <f t="shared" si="0"/>
        <v/>
      </c>
    </row>
    <row r="9" spans="1:28">
      <c r="A9" s="27" t="str">
        <f>คะแนนเก็บ!A9</f>
        <v>5</v>
      </c>
      <c r="B9" s="25">
        <f>คะแนนเก็บ!B9</f>
        <v>0</v>
      </c>
      <c r="C9" s="25">
        <f>คะแนนเก็บ!C9</f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28" t="str">
        <f t="shared" si="0"/>
        <v/>
      </c>
    </row>
    <row r="10" spans="1:28">
      <c r="A10" s="27" t="str">
        <f>คะแนนเก็บ!A10</f>
        <v>6</v>
      </c>
      <c r="B10" s="25">
        <f>คะแนนเก็บ!B10</f>
        <v>0</v>
      </c>
      <c r="C10" s="25">
        <f>คะแนนเก็บ!C10</f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28" t="str">
        <f t="shared" si="0"/>
        <v/>
      </c>
    </row>
    <row r="11" spans="1:28">
      <c r="A11" s="27" t="str">
        <f>คะแนนเก็บ!A11</f>
        <v>7</v>
      </c>
      <c r="B11" s="25">
        <f>คะแนนเก็บ!B11</f>
        <v>0</v>
      </c>
      <c r="C11" s="25">
        <f>คะแนนเก็บ!C11</f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28" t="str">
        <f t="shared" si="0"/>
        <v/>
      </c>
    </row>
    <row r="12" spans="1:28">
      <c r="A12" s="27" t="str">
        <f>คะแนนเก็บ!A12</f>
        <v>8</v>
      </c>
      <c r="B12" s="25">
        <f>คะแนนเก็บ!B12</f>
        <v>0</v>
      </c>
      <c r="C12" s="25">
        <f>คะแนนเก็บ!C12</f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28" t="str">
        <f t="shared" si="0"/>
        <v/>
      </c>
    </row>
    <row r="13" spans="1:28">
      <c r="A13" s="27" t="str">
        <f>คะแนนเก็บ!A13</f>
        <v>9</v>
      </c>
      <c r="B13" s="25">
        <f>คะแนนเก็บ!B13</f>
        <v>0</v>
      </c>
      <c r="C13" s="25">
        <f>คะแนนเก็บ!C13</f>
        <v>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28" t="str">
        <f t="shared" si="0"/>
        <v/>
      </c>
    </row>
    <row r="14" spans="1:28">
      <c r="A14" s="27" t="str">
        <f>คะแนนเก็บ!A14</f>
        <v>10</v>
      </c>
      <c r="B14" s="25">
        <f>คะแนนเก็บ!B14</f>
        <v>0</v>
      </c>
      <c r="C14" s="25">
        <f>คะแนนเก็บ!C14</f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28" t="str">
        <f t="shared" si="0"/>
        <v/>
      </c>
    </row>
    <row r="15" spans="1:28">
      <c r="A15" s="27" t="str">
        <f>คะแนนเก็บ!A15</f>
        <v>11</v>
      </c>
      <c r="B15" s="25">
        <f>คะแนนเก็บ!B15</f>
        <v>0</v>
      </c>
      <c r="C15" s="25">
        <f>คะแนนเก็บ!C15</f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28" t="str">
        <f t="shared" si="0"/>
        <v/>
      </c>
    </row>
    <row r="16" spans="1:28">
      <c r="A16" s="27" t="str">
        <f>คะแนนเก็บ!A16</f>
        <v>12</v>
      </c>
      <c r="B16" s="25">
        <f>คะแนนเก็บ!B16</f>
        <v>0</v>
      </c>
      <c r="C16" s="25">
        <f>คะแนนเก็บ!C16</f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28" t="str">
        <f t="shared" si="0"/>
        <v/>
      </c>
    </row>
    <row r="17" spans="1:24">
      <c r="A17" s="27" t="str">
        <f>คะแนนเก็บ!A17</f>
        <v>13</v>
      </c>
      <c r="B17" s="25">
        <f>คะแนนเก็บ!B17</f>
        <v>0</v>
      </c>
      <c r="C17" s="25">
        <f>คะแนนเก็บ!C17</f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28" t="str">
        <f t="shared" si="0"/>
        <v/>
      </c>
    </row>
    <row r="18" spans="1:24">
      <c r="A18" s="27" t="str">
        <f>คะแนนเก็บ!A18</f>
        <v>14</v>
      </c>
      <c r="B18" s="25">
        <f>คะแนนเก็บ!B18</f>
        <v>0</v>
      </c>
      <c r="C18" s="25">
        <f>คะแนนเก็บ!C18</f>
        <v>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28" t="str">
        <f t="shared" si="0"/>
        <v/>
      </c>
    </row>
    <row r="19" spans="1:24">
      <c r="A19" s="27" t="str">
        <f>คะแนนเก็บ!A19</f>
        <v>15</v>
      </c>
      <c r="B19" s="25">
        <f>คะแนนเก็บ!B19</f>
        <v>0</v>
      </c>
      <c r="C19" s="25">
        <f>คะแนนเก็บ!C19</f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28" t="str">
        <f t="shared" si="0"/>
        <v/>
      </c>
    </row>
    <row r="20" spans="1:24">
      <c r="A20" s="27" t="str">
        <f>คะแนนเก็บ!A20</f>
        <v>16</v>
      </c>
      <c r="B20" s="25">
        <f>คะแนนเก็บ!B20</f>
        <v>0</v>
      </c>
      <c r="C20" s="25">
        <f>คะแนนเก็บ!C20</f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28" t="str">
        <f t="shared" si="0"/>
        <v/>
      </c>
    </row>
    <row r="21" spans="1:24">
      <c r="A21" s="27" t="str">
        <f>คะแนนเก็บ!A21</f>
        <v>17</v>
      </c>
      <c r="B21" s="25">
        <f>คะแนนเก็บ!B21</f>
        <v>0</v>
      </c>
      <c r="C21" s="25">
        <f>คะแนนเก็บ!C21</f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28" t="str">
        <f t="shared" si="0"/>
        <v/>
      </c>
    </row>
    <row r="22" spans="1:24">
      <c r="A22" s="27" t="str">
        <f>คะแนนเก็บ!A22</f>
        <v>18</v>
      </c>
      <c r="B22" s="25">
        <f>คะแนนเก็บ!B22</f>
        <v>0</v>
      </c>
      <c r="C22" s="25">
        <f>คะแนนเก็บ!C22</f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28" t="str">
        <f t="shared" si="0"/>
        <v/>
      </c>
    </row>
    <row r="23" spans="1:24">
      <c r="A23" s="27" t="str">
        <f>คะแนนเก็บ!A23</f>
        <v>19</v>
      </c>
      <c r="B23" s="25">
        <f>คะแนนเก็บ!B23</f>
        <v>0</v>
      </c>
      <c r="C23" s="25">
        <f>คะแนนเก็บ!C23</f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28" t="str">
        <f t="shared" si="0"/>
        <v/>
      </c>
    </row>
    <row r="24" spans="1:24">
      <c r="A24" s="27" t="str">
        <f>คะแนนเก็บ!A24</f>
        <v>20</v>
      </c>
      <c r="B24" s="25">
        <f>คะแนนเก็บ!B24</f>
        <v>0</v>
      </c>
      <c r="C24" s="25">
        <f>คะแนนเก็บ!C24</f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28" t="str">
        <f t="shared" si="0"/>
        <v/>
      </c>
    </row>
    <row r="25" spans="1:24">
      <c r="A25" s="27" t="str">
        <f>คะแนนเก็บ!A25</f>
        <v>21</v>
      </c>
      <c r="B25" s="25">
        <f>คะแนนเก็บ!B25</f>
        <v>0</v>
      </c>
      <c r="C25" s="25">
        <f>คะแนนเก็บ!C25</f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28" t="str">
        <f t="shared" si="0"/>
        <v/>
      </c>
    </row>
    <row r="26" spans="1:24">
      <c r="A26" s="27" t="str">
        <f>คะแนนเก็บ!A26</f>
        <v>22</v>
      </c>
      <c r="B26" s="25">
        <f>คะแนนเก็บ!B26</f>
        <v>0</v>
      </c>
      <c r="C26" s="25">
        <f>คะแนนเก็บ!C26</f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28" t="str">
        <f t="shared" si="0"/>
        <v/>
      </c>
    </row>
    <row r="27" spans="1:24">
      <c r="A27" s="27" t="str">
        <f>คะแนนเก็บ!A27</f>
        <v>23</v>
      </c>
      <c r="B27" s="25">
        <f>คะแนนเก็บ!B27</f>
        <v>0</v>
      </c>
      <c r="C27" s="25">
        <f>คะแนนเก็บ!C27</f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28" t="str">
        <f t="shared" si="0"/>
        <v/>
      </c>
    </row>
    <row r="28" spans="1:24">
      <c r="A28" s="27" t="str">
        <f>คะแนนเก็บ!A28</f>
        <v>24</v>
      </c>
      <c r="B28" s="25">
        <f>คะแนนเก็บ!B28</f>
        <v>0</v>
      </c>
      <c r="C28" s="25">
        <f>คะแนนเก็บ!C28</f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28" t="str">
        <f t="shared" si="0"/>
        <v/>
      </c>
    </row>
    <row r="29" spans="1:24">
      <c r="A29" s="27" t="str">
        <f>คะแนนเก็บ!A29</f>
        <v>25</v>
      </c>
      <c r="B29" s="25">
        <f>คะแนนเก็บ!B29</f>
        <v>0</v>
      </c>
      <c r="C29" s="25">
        <f>คะแนนเก็บ!C29</f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28" t="str">
        <f t="shared" si="0"/>
        <v/>
      </c>
    </row>
    <row r="30" spans="1:24">
      <c r="A30" s="27" t="str">
        <f>คะแนนเก็บ!A30</f>
        <v>26</v>
      </c>
      <c r="B30" s="25">
        <f>คะแนนเก็บ!B30</f>
        <v>0</v>
      </c>
      <c r="C30" s="25">
        <f>คะแนนเก็บ!C30</f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28" t="str">
        <f t="shared" si="0"/>
        <v/>
      </c>
    </row>
    <row r="31" spans="1:24">
      <c r="A31" s="27" t="str">
        <f>คะแนนเก็บ!A31</f>
        <v>27</v>
      </c>
      <c r="B31" s="25">
        <f>คะแนนเก็บ!B31</f>
        <v>0</v>
      </c>
      <c r="C31" s="25">
        <f>คะแนนเก็บ!C31</f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28" t="str">
        <f t="shared" si="0"/>
        <v/>
      </c>
    </row>
    <row r="32" spans="1:24">
      <c r="A32" s="27" t="str">
        <f>คะแนนเก็บ!A32</f>
        <v>28</v>
      </c>
      <c r="B32" s="25">
        <f>คะแนนเก็บ!B32</f>
        <v>0</v>
      </c>
      <c r="C32" s="25">
        <f>คะแนนเก็บ!C32</f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28" t="str">
        <f t="shared" si="0"/>
        <v/>
      </c>
    </row>
    <row r="33" spans="1:24">
      <c r="A33" s="27" t="str">
        <f>คะแนนเก็บ!A33</f>
        <v>29</v>
      </c>
      <c r="B33" s="25">
        <f>คะแนนเก็บ!B33</f>
        <v>0</v>
      </c>
      <c r="C33" s="25">
        <f>คะแนนเก็บ!C33</f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28" t="str">
        <f t="shared" si="0"/>
        <v/>
      </c>
    </row>
    <row r="34" spans="1:24">
      <c r="A34" s="27" t="str">
        <f>คะแนนเก็บ!A34</f>
        <v>30</v>
      </c>
      <c r="B34" s="25">
        <f>คะแนนเก็บ!B34</f>
        <v>0</v>
      </c>
      <c r="C34" s="25">
        <f>คะแนนเก็บ!C34</f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28" t="str">
        <f t="shared" si="0"/>
        <v/>
      </c>
    </row>
    <row r="35" spans="1:24">
      <c r="A35" s="27" t="str">
        <f>คะแนนเก็บ!A35</f>
        <v>31</v>
      </c>
      <c r="B35" s="25">
        <f>คะแนนเก็บ!B35</f>
        <v>0</v>
      </c>
      <c r="C35" s="25">
        <f>คะแนนเก็บ!C35</f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28" t="str">
        <f t="shared" si="0"/>
        <v/>
      </c>
    </row>
    <row r="36" spans="1:24">
      <c r="A36" s="27" t="str">
        <f>คะแนนเก็บ!A36</f>
        <v>32</v>
      </c>
      <c r="B36" s="25">
        <f>คะแนนเก็บ!B36</f>
        <v>0</v>
      </c>
      <c r="C36" s="25">
        <f>คะแนนเก็บ!C36</f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28" t="str">
        <f t="shared" si="0"/>
        <v/>
      </c>
    </row>
    <row r="37" spans="1:24">
      <c r="A37" s="27" t="str">
        <f>คะแนนเก็บ!A37</f>
        <v>33</v>
      </c>
      <c r="B37" s="25">
        <f>คะแนนเก็บ!B37</f>
        <v>0</v>
      </c>
      <c r="C37" s="25">
        <f>คะแนนเก็บ!C37</f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28" t="str">
        <f t="shared" si="0"/>
        <v/>
      </c>
    </row>
    <row r="38" spans="1:24">
      <c r="A38" s="27" t="str">
        <f>คะแนนเก็บ!A38</f>
        <v>34</v>
      </c>
      <c r="B38" s="25">
        <f>คะแนนเก็บ!B38</f>
        <v>0</v>
      </c>
      <c r="C38" s="25">
        <f>คะแนนเก็บ!C38</f>
        <v>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28" t="str">
        <f t="shared" si="0"/>
        <v/>
      </c>
    </row>
    <row r="39" spans="1:24">
      <c r="A39" s="27" t="str">
        <f>คะแนนเก็บ!A39</f>
        <v>35</v>
      </c>
      <c r="B39" s="25">
        <f>คะแนนเก็บ!B39</f>
        <v>0</v>
      </c>
      <c r="C39" s="25">
        <f>คะแนนเก็บ!C39</f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8" t="str">
        <f t="shared" si="0"/>
        <v/>
      </c>
    </row>
    <row r="40" spans="1:24">
      <c r="A40" s="27" t="str">
        <f>คะแนนเก็บ!A40</f>
        <v>36</v>
      </c>
      <c r="B40" s="25">
        <f>คะแนนเก็บ!B40</f>
        <v>0</v>
      </c>
      <c r="C40" s="25">
        <f>คะแนนเก็บ!C40</f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28" t="str">
        <f t="shared" si="0"/>
        <v/>
      </c>
    </row>
    <row r="41" spans="1:24">
      <c r="A41" s="27" t="str">
        <f>คะแนนเก็บ!A41</f>
        <v>37</v>
      </c>
      <c r="B41" s="25">
        <f>คะแนนเก็บ!B41</f>
        <v>0</v>
      </c>
      <c r="C41" s="25">
        <f>คะแนนเก็บ!C41</f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28" t="str">
        <f t="shared" si="0"/>
        <v/>
      </c>
    </row>
    <row r="42" spans="1:24">
      <c r="A42" s="27" t="str">
        <f>คะแนนเก็บ!A42</f>
        <v>38</v>
      </c>
      <c r="B42" s="25">
        <f>คะแนนเก็บ!B42</f>
        <v>0</v>
      </c>
      <c r="C42" s="25">
        <f>คะแนนเก็บ!C42</f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28" t="str">
        <f t="shared" si="0"/>
        <v/>
      </c>
    </row>
    <row r="43" spans="1:24">
      <c r="A43" s="27" t="str">
        <f>คะแนนเก็บ!A43</f>
        <v>39</v>
      </c>
      <c r="B43" s="25">
        <f>คะแนนเก็บ!B43</f>
        <v>0</v>
      </c>
      <c r="C43" s="25">
        <f>คะแนนเก็บ!C43</f>
        <v>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28" t="str">
        <f t="shared" si="0"/>
        <v/>
      </c>
    </row>
    <row r="44" spans="1:24">
      <c r="A44" s="27" t="str">
        <f>คะแนนเก็บ!A44</f>
        <v>40</v>
      </c>
      <c r="B44" s="25">
        <f>คะแนนเก็บ!B44</f>
        <v>0</v>
      </c>
      <c r="C44" s="25">
        <f>คะแนนเก็บ!C44</f>
        <v>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28" t="str">
        <f t="shared" si="0"/>
        <v/>
      </c>
    </row>
    <row r="45" spans="1:24">
      <c r="A45" s="27" t="str">
        <f>คะแนนเก็บ!A45</f>
        <v>41</v>
      </c>
      <c r="B45" s="25">
        <f>คะแนนเก็บ!B45</f>
        <v>0</v>
      </c>
      <c r="C45" s="25">
        <f>คะแนนเก็บ!C45</f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28" t="str">
        <f t="shared" si="0"/>
        <v/>
      </c>
    </row>
    <row r="46" spans="1:24">
      <c r="A46" s="27" t="str">
        <f>คะแนนเก็บ!A46</f>
        <v>42</v>
      </c>
      <c r="B46" s="25">
        <f>คะแนนเก็บ!B46</f>
        <v>0</v>
      </c>
      <c r="C46" s="25">
        <f>คะแนนเก็บ!C46</f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28" t="str">
        <f t="shared" si="0"/>
        <v/>
      </c>
    </row>
    <row r="47" spans="1:24">
      <c r="A47" s="27" t="str">
        <f>คะแนนเก็บ!A47</f>
        <v>43</v>
      </c>
      <c r="B47" s="25">
        <f>คะแนนเก็บ!B47</f>
        <v>0</v>
      </c>
      <c r="C47" s="25">
        <f>คะแนนเก็บ!C47</f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28" t="str">
        <f t="shared" si="0"/>
        <v/>
      </c>
    </row>
    <row r="48" spans="1:24">
      <c r="A48" s="27" t="str">
        <f>คะแนนเก็บ!A48</f>
        <v>44</v>
      </c>
      <c r="B48" s="25">
        <f>คะแนนเก็บ!B48</f>
        <v>0</v>
      </c>
      <c r="C48" s="25">
        <f>คะแนนเก็บ!C48</f>
        <v>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28" t="str">
        <f t="shared" si="0"/>
        <v/>
      </c>
    </row>
    <row r="49" spans="1:24">
      <c r="A49" s="27" t="str">
        <f>คะแนนเก็บ!A49</f>
        <v>45</v>
      </c>
      <c r="B49" s="25">
        <f>คะแนนเก็บ!B49</f>
        <v>0</v>
      </c>
      <c r="C49" s="25">
        <f>คะแนนเก็บ!C49</f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28" t="str">
        <f t="shared" si="0"/>
        <v/>
      </c>
    </row>
    <row r="50" spans="1:24">
      <c r="A50" s="27" t="str">
        <f>คะแนนเก็บ!A50</f>
        <v>46</v>
      </c>
      <c r="B50" s="25">
        <f>คะแนนเก็บ!B50</f>
        <v>0</v>
      </c>
      <c r="C50" s="25">
        <f>คะแนนเก็บ!C50</f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28" t="str">
        <f t="shared" si="0"/>
        <v/>
      </c>
    </row>
    <row r="51" spans="1:24">
      <c r="A51" s="27" t="str">
        <f>คะแนนเก็บ!A51</f>
        <v>47</v>
      </c>
      <c r="B51" s="25">
        <f>คะแนนเก็บ!B51</f>
        <v>0</v>
      </c>
      <c r="C51" s="25">
        <f>คะแนนเก็บ!C51</f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28" t="str">
        <f t="shared" si="0"/>
        <v/>
      </c>
    </row>
    <row r="52" spans="1:24">
      <c r="A52" s="27" t="str">
        <f>คะแนนเก็บ!A52</f>
        <v>48</v>
      </c>
      <c r="B52" s="25">
        <f>คะแนนเก็บ!B52</f>
        <v>0</v>
      </c>
      <c r="C52" s="25">
        <f>คะแนนเก็บ!C52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28" t="str">
        <f t="shared" si="0"/>
        <v/>
      </c>
    </row>
    <row r="53" spans="1:24">
      <c r="A53" s="27" t="str">
        <f>คะแนนเก็บ!A53</f>
        <v>49</v>
      </c>
      <c r="B53" s="25">
        <f>คะแนนเก็บ!B53</f>
        <v>0</v>
      </c>
      <c r="C53" s="25">
        <f>คะแนนเก็บ!C53</f>
        <v>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28" t="str">
        <f t="shared" si="0"/>
        <v/>
      </c>
    </row>
    <row r="54" spans="1:24">
      <c r="A54" s="27" t="str">
        <f>คะแนนเก็บ!A54</f>
        <v>50</v>
      </c>
      <c r="B54" s="25">
        <f>คะแนนเก็บ!B54</f>
        <v>0</v>
      </c>
      <c r="C54" s="25">
        <f>คะแนนเก็บ!C54</f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28" t="str">
        <f t="shared" si="0"/>
        <v/>
      </c>
    </row>
    <row r="55" spans="1:24">
      <c r="A55" s="27" t="str">
        <f>คะแนนเก็บ!A55</f>
        <v>51</v>
      </c>
      <c r="B55" s="25">
        <f>คะแนนเก็บ!B55</f>
        <v>0</v>
      </c>
      <c r="C55" s="25">
        <f>คะแนนเก็บ!C55</f>
        <v>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28" t="str">
        <f t="shared" si="0"/>
        <v/>
      </c>
    </row>
    <row r="56" spans="1:24">
      <c r="A56" s="27" t="str">
        <f>คะแนนเก็บ!A56</f>
        <v>52</v>
      </c>
      <c r="B56" s="25">
        <f>คะแนนเก็บ!B56</f>
        <v>0</v>
      </c>
      <c r="C56" s="25">
        <f>คะแนนเก็บ!C56</f>
        <v>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28" t="str">
        <f t="shared" si="0"/>
        <v/>
      </c>
    </row>
    <row r="57" spans="1:24">
      <c r="A57" s="27" t="str">
        <f>คะแนนเก็บ!A57</f>
        <v>53</v>
      </c>
      <c r="B57" s="25">
        <f>คะแนนเก็บ!B57</f>
        <v>0</v>
      </c>
      <c r="C57" s="25">
        <f>คะแนนเก็บ!C57</f>
        <v>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28" t="str">
        <f t="shared" si="0"/>
        <v/>
      </c>
    </row>
    <row r="58" spans="1:24">
      <c r="A58" s="27" t="str">
        <f>คะแนนเก็บ!A58</f>
        <v>54</v>
      </c>
      <c r="B58" s="25">
        <f>คะแนนเก็บ!B58</f>
        <v>0</v>
      </c>
      <c r="C58" s="25">
        <f>คะแนนเก็บ!C58</f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28" t="str">
        <f t="shared" si="0"/>
        <v/>
      </c>
    </row>
    <row r="59" spans="1:24">
      <c r="A59" s="27" t="str">
        <f>คะแนนเก็บ!A59</f>
        <v>55</v>
      </c>
      <c r="B59" s="25">
        <f>คะแนนเก็บ!B59</f>
        <v>0</v>
      </c>
      <c r="C59" s="25">
        <f>คะแนนเก็บ!C59</f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28" t="str">
        <f t="shared" si="0"/>
        <v/>
      </c>
    </row>
    <row r="60" spans="1:24">
      <c r="A60" s="27" t="str">
        <f>คะแนนเก็บ!A60</f>
        <v>56</v>
      </c>
      <c r="B60" s="25">
        <f>คะแนนเก็บ!B60</f>
        <v>0</v>
      </c>
      <c r="C60" s="25">
        <f>คะแนนเก็บ!C60</f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28" t="str">
        <f t="shared" si="0"/>
        <v/>
      </c>
    </row>
    <row r="61" spans="1:24">
      <c r="A61" s="27" t="str">
        <f>คะแนนเก็บ!A61</f>
        <v>57</v>
      </c>
      <c r="B61" s="25">
        <f>คะแนนเก็บ!B61</f>
        <v>0</v>
      </c>
      <c r="C61" s="25">
        <f>คะแนนเก็บ!C61</f>
        <v>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28" t="str">
        <f t="shared" si="0"/>
        <v/>
      </c>
    </row>
    <row r="62" spans="1:24">
      <c r="A62" s="27" t="str">
        <f>คะแนนเก็บ!A62</f>
        <v>58</v>
      </c>
      <c r="B62" s="25">
        <f>คะแนนเก็บ!B62</f>
        <v>0</v>
      </c>
      <c r="C62" s="25">
        <f>คะแนนเก็บ!C62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28" t="str">
        <f t="shared" si="0"/>
        <v/>
      </c>
    </row>
    <row r="63" spans="1:24">
      <c r="A63" s="27" t="str">
        <f>คะแนนเก็บ!A63</f>
        <v>59</v>
      </c>
      <c r="B63" s="25">
        <f>คะแนนเก็บ!B63</f>
        <v>0</v>
      </c>
      <c r="C63" s="25">
        <f>คะแนนเก็บ!C63</f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28" t="str">
        <f t="shared" si="0"/>
        <v/>
      </c>
    </row>
    <row r="64" spans="1:24">
      <c r="A64" s="27" t="str">
        <f>คะแนนเก็บ!A64</f>
        <v>60</v>
      </c>
      <c r="B64" s="25">
        <f>คะแนนเก็บ!B64</f>
        <v>0</v>
      </c>
      <c r="C64" s="25">
        <f>คะแนนเก็บ!C64</f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>
        <v>2</v>
      </c>
      <c r="O64" s="13"/>
      <c r="P64" s="13"/>
      <c r="Q64" s="13"/>
      <c r="R64" s="13"/>
      <c r="S64" s="13"/>
      <c r="T64" s="13"/>
      <c r="U64" s="13"/>
      <c r="V64" s="13"/>
      <c r="W64" s="13">
        <v>1</v>
      </c>
      <c r="X64" s="28" t="str">
        <f t="shared" si="0"/>
        <v/>
      </c>
    </row>
  </sheetData>
  <sheetProtection algorithmName="SHA-512" hashValue="LGg20Phv4BJKFINQj88Jrj8eKXQ4+3dqItrlgU6Cki+4l1FlvJVg80xAiAylBD2slUdoFyjXLNj+nfLTX4imVg==" saltValue="dBZDzCVR5SS+QZQXKC6WKQ==" spinCount="100000" sheet="1" selectLockedCells="1"/>
  <mergeCells count="6">
    <mergeCell ref="A1:X1"/>
    <mergeCell ref="A2:A4"/>
    <mergeCell ref="B2:B4"/>
    <mergeCell ref="C2:C3"/>
    <mergeCell ref="D2:M2"/>
    <mergeCell ref="X2:X3"/>
  </mergeCells>
  <conditionalFormatting sqref="B5:C64">
    <cfRule type="cellIs" dxfId="6" priority="1" operator="equal">
      <formula>0</formula>
    </cfRule>
    <cfRule type="cellIs" dxfId="5" priority="2" operator="greaterThan">
      <formula>0</formula>
    </cfRule>
  </conditionalFormatting>
  <conditionalFormatting sqref="X4:X64">
    <cfRule type="cellIs" dxfId="4" priority="3" operator="greaterThan">
      <formula>0</formula>
    </cfRule>
    <cfRule type="cellIs" dxfId="3" priority="4" operator="equal">
      <formula>0</formula>
    </cfRule>
  </conditionalFormatting>
  <dataValidations count="2">
    <dataValidation type="whole" operator="lessThanOrEqual" allowBlank="1" showInputMessage="1" showErrorMessage="1" error="สามารถระบุค่าสูงสุดได้ 3 เท่านั้น" sqref="L4:W4" xr:uid="{65595205-61BF-425D-BEEC-A11287FD8402}">
      <formula1>3</formula1>
    </dataValidation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W64" xr:uid="{2D7E3D9C-5DFF-45C2-9B89-816586281470}">
      <formula1>D$4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DF2EA-2202-4F8A-AAE9-35FB0EA1A717}">
  <sheetPr>
    <tabColor rgb="FFFFFF93"/>
  </sheetPr>
  <dimension ref="A1:R64"/>
  <sheetViews>
    <sheetView zoomScaleNormal="100" workbookViewId="0">
      <pane xSplit="3" ySplit="4" topLeftCell="D5" activePane="bottomRight" state="frozen"/>
      <selection pane="bottomRight" activeCell="K8" sqref="K8"/>
      <selection pane="bottomLeft" activeCell="A5" sqref="A5"/>
      <selection pane="topRight" activeCell="C1" sqref="C1"/>
    </sheetView>
  </sheetViews>
  <sheetFormatPr defaultColWidth="9.28515625" defaultRowHeight="24"/>
  <cols>
    <col min="1" max="1" width="5.7109375" style="1" customWidth="1"/>
    <col min="2" max="2" width="9.28515625" style="2" customWidth="1"/>
    <col min="3" max="3" width="31.42578125" style="2" customWidth="1"/>
    <col min="4" max="8" width="5.28515625" style="2" customWidth="1"/>
    <col min="9" max="9" width="5" style="1" customWidth="1"/>
    <col min="10" max="11" width="9.28515625" style="1"/>
    <col min="12" max="12" width="9.28515625" style="1" customWidth="1"/>
    <col min="13" max="16384" width="9.28515625" style="1"/>
  </cols>
  <sheetData>
    <row r="1" spans="1:18">
      <c r="A1" s="68" t="s">
        <v>112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</row>
    <row r="2" spans="1:18" ht="22.5" customHeight="1">
      <c r="A2" s="62" t="s">
        <v>24</v>
      </c>
      <c r="B2" s="62" t="s">
        <v>25</v>
      </c>
      <c r="C2" s="64" t="s">
        <v>26</v>
      </c>
      <c r="D2" s="75" t="s">
        <v>113</v>
      </c>
      <c r="E2" s="76"/>
      <c r="F2" s="76"/>
      <c r="G2" s="76"/>
      <c r="H2" s="77"/>
      <c r="I2" s="73" t="s">
        <v>28</v>
      </c>
      <c r="J2" s="17"/>
      <c r="K2" s="17"/>
      <c r="L2" s="17"/>
      <c r="M2" s="17"/>
      <c r="N2" s="17"/>
      <c r="O2" s="17"/>
      <c r="P2" s="17"/>
      <c r="Q2" s="17"/>
      <c r="R2" s="17"/>
    </row>
    <row r="3" spans="1:18" ht="82.5" customHeight="1">
      <c r="A3" s="62"/>
      <c r="B3" s="62"/>
      <c r="C3" s="64"/>
      <c r="D3" s="31" t="s">
        <v>114</v>
      </c>
      <c r="E3" s="31" t="s">
        <v>115</v>
      </c>
      <c r="F3" s="31" t="s">
        <v>116</v>
      </c>
      <c r="G3" s="33"/>
      <c r="H3" s="33"/>
      <c r="I3" s="74"/>
      <c r="J3" s="17"/>
      <c r="K3" s="17"/>
      <c r="L3" s="17"/>
      <c r="M3" s="17"/>
      <c r="N3" s="17"/>
      <c r="O3" s="17"/>
      <c r="P3" s="17"/>
      <c r="Q3" s="17"/>
      <c r="R3" s="17"/>
    </row>
    <row r="4" spans="1:18" ht="21.75" customHeight="1">
      <c r="A4" s="62"/>
      <c r="B4" s="62"/>
      <c r="C4" s="58" t="s">
        <v>34</v>
      </c>
      <c r="D4" s="32">
        <v>3</v>
      </c>
      <c r="E4" s="32">
        <v>3</v>
      </c>
      <c r="F4" s="32">
        <v>3</v>
      </c>
      <c r="G4" s="34"/>
      <c r="H4" s="34"/>
      <c r="I4" s="20">
        <f>IFERROR(MAX(_xlfn.MODE.MULT(D4:H4)), "")</f>
        <v>3</v>
      </c>
      <c r="J4" s="52" t="s">
        <v>111</v>
      </c>
      <c r="K4" s="17"/>
      <c r="L4" s="17"/>
      <c r="M4" s="17"/>
      <c r="N4" s="17"/>
      <c r="O4" s="17"/>
      <c r="P4" s="17"/>
      <c r="Q4" s="17"/>
      <c r="R4" s="17"/>
    </row>
    <row r="5" spans="1:18">
      <c r="A5" s="26" t="str">
        <f>คะแนนเก็บ!A5</f>
        <v>1</v>
      </c>
      <c r="B5" s="11" t="str">
        <f>คะแนนเก็บ!B5</f>
        <v>123</v>
      </c>
      <c r="C5" s="11" t="str">
        <f>คะแนนเก็บ!C5</f>
        <v>เด็กชายจับจ่าย รักโรงเรียน</v>
      </c>
      <c r="D5" s="13"/>
      <c r="E5" s="13"/>
      <c r="F5" s="13"/>
      <c r="G5" s="13"/>
      <c r="H5" s="13"/>
      <c r="I5" s="20" t="str">
        <f>IFERROR(MAX(_xlfn.MODE.MULT(D5:H5)), "")</f>
        <v/>
      </c>
      <c r="J5" s="17"/>
      <c r="K5" s="17"/>
      <c r="L5" s="17"/>
      <c r="M5" s="17"/>
      <c r="N5" s="17"/>
      <c r="O5" s="17"/>
      <c r="P5" s="17"/>
      <c r="Q5" s="17"/>
      <c r="R5" s="17"/>
    </row>
    <row r="6" spans="1:18">
      <c r="A6" s="26" t="str">
        <f>คะแนนเก็บ!A6</f>
        <v>2</v>
      </c>
      <c r="B6" s="11" t="str">
        <f>คะแนนเก็บ!B6</f>
        <v>456</v>
      </c>
      <c r="C6" s="11" t="str">
        <f>คะแนนเก็บ!C6</f>
        <v>เด็กชายสคูล ไบร์ท</v>
      </c>
      <c r="D6" s="13"/>
      <c r="E6" s="13"/>
      <c r="F6" s="13"/>
      <c r="G6" s="13"/>
      <c r="H6" s="13"/>
      <c r="I6" s="20" t="str">
        <f t="shared" ref="I6:I64" si="0">IFERROR(MAX(_xlfn.MODE.MULT(D6:H6)), "")</f>
        <v/>
      </c>
      <c r="J6" s="17"/>
      <c r="K6" s="17"/>
      <c r="L6" s="17"/>
      <c r="M6" s="17"/>
      <c r="N6" s="17"/>
      <c r="O6" s="17"/>
      <c r="P6" s="17"/>
      <c r="Q6" s="17"/>
      <c r="R6" s="17"/>
    </row>
    <row r="7" spans="1:18">
      <c r="A7" s="26" t="str">
        <f>คะแนนเก็บ!A7</f>
        <v>3</v>
      </c>
      <c r="B7" s="11" t="str">
        <f>คะแนนเก็บ!B7</f>
        <v>A123</v>
      </c>
      <c r="C7" s="11" t="str">
        <f>คะแนนเก็บ!C7</f>
        <v>เด็กหญิงน้ำเพชร ใจดี</v>
      </c>
      <c r="D7" s="13"/>
      <c r="E7" s="13"/>
      <c r="F7" s="13"/>
      <c r="G7" s="13"/>
      <c r="H7" s="13"/>
      <c r="I7" s="20" t="str">
        <f t="shared" si="0"/>
        <v/>
      </c>
      <c r="J7" s="17"/>
      <c r="K7" s="17"/>
      <c r="L7" s="17"/>
      <c r="M7" s="17"/>
      <c r="N7" s="17"/>
      <c r="O7" s="17"/>
      <c r="P7" s="17"/>
      <c r="Q7" s="17"/>
      <c r="R7" s="17"/>
    </row>
    <row r="8" spans="1:18">
      <c r="A8" s="26" t="str">
        <f>คะแนนเก็บ!A8</f>
        <v>4</v>
      </c>
      <c r="B8" s="11">
        <f>คะแนนเก็บ!B8</f>
        <v>0</v>
      </c>
      <c r="C8" s="11">
        <f>คะแนนเก็บ!C8</f>
        <v>0</v>
      </c>
      <c r="D8" s="13"/>
      <c r="E8" s="13"/>
      <c r="F8" s="13"/>
      <c r="G8" s="13"/>
      <c r="H8" s="13"/>
      <c r="I8" s="20" t="str">
        <f t="shared" si="0"/>
        <v/>
      </c>
      <c r="J8" s="17"/>
      <c r="K8" s="17"/>
      <c r="L8" s="17"/>
      <c r="M8" s="17"/>
      <c r="N8" s="17"/>
      <c r="O8" s="17"/>
      <c r="P8" s="17"/>
      <c r="Q8" s="17"/>
      <c r="R8" s="17"/>
    </row>
    <row r="9" spans="1:18">
      <c r="A9" s="26" t="str">
        <f>คะแนนเก็บ!A9</f>
        <v>5</v>
      </c>
      <c r="B9" s="11">
        <f>คะแนนเก็บ!B9</f>
        <v>0</v>
      </c>
      <c r="C9" s="11">
        <f>คะแนนเก็บ!C9</f>
        <v>0</v>
      </c>
      <c r="D9" s="13"/>
      <c r="E9" s="13"/>
      <c r="F9" s="13"/>
      <c r="G9" s="13"/>
      <c r="H9" s="13"/>
      <c r="I9" s="20" t="str">
        <f t="shared" si="0"/>
        <v/>
      </c>
      <c r="J9" s="17"/>
      <c r="K9" s="17"/>
      <c r="L9" s="17"/>
      <c r="M9" s="17"/>
      <c r="N9" s="17"/>
      <c r="O9" s="17"/>
      <c r="P9" s="17"/>
      <c r="Q9" s="17"/>
      <c r="R9" s="17"/>
    </row>
    <row r="10" spans="1:18">
      <c r="A10" s="26" t="str">
        <f>คะแนนเก็บ!A10</f>
        <v>6</v>
      </c>
      <c r="B10" s="11">
        <f>คะแนนเก็บ!B10</f>
        <v>0</v>
      </c>
      <c r="C10" s="11">
        <f>คะแนนเก็บ!C10</f>
        <v>0</v>
      </c>
      <c r="D10" s="13"/>
      <c r="E10" s="13"/>
      <c r="F10" s="13"/>
      <c r="G10" s="13"/>
      <c r="H10" s="13"/>
      <c r="I10" s="20" t="str">
        <f t="shared" si="0"/>
        <v/>
      </c>
      <c r="J10" s="17"/>
      <c r="K10" s="17"/>
      <c r="L10" s="17"/>
      <c r="M10" s="17"/>
      <c r="N10" s="17"/>
      <c r="O10" s="17"/>
      <c r="P10" s="17"/>
      <c r="Q10" s="17"/>
      <c r="R10" s="17"/>
    </row>
    <row r="11" spans="1:18">
      <c r="A11" s="26" t="str">
        <f>คะแนนเก็บ!A11</f>
        <v>7</v>
      </c>
      <c r="B11" s="11">
        <f>คะแนนเก็บ!B11</f>
        <v>0</v>
      </c>
      <c r="C11" s="11">
        <f>คะแนนเก็บ!C11</f>
        <v>0</v>
      </c>
      <c r="D11" s="13"/>
      <c r="E11" s="13"/>
      <c r="F11" s="13"/>
      <c r="G11" s="13"/>
      <c r="H11" s="13"/>
      <c r="I11" s="20" t="str">
        <f t="shared" si="0"/>
        <v/>
      </c>
      <c r="J11" s="17"/>
      <c r="K11" s="17"/>
      <c r="L11" s="17"/>
      <c r="M11" s="17"/>
      <c r="N11" s="17"/>
      <c r="O11" s="17"/>
      <c r="P11" s="17"/>
      <c r="Q11" s="17"/>
      <c r="R11" s="17"/>
    </row>
    <row r="12" spans="1:18">
      <c r="A12" s="26" t="str">
        <f>คะแนนเก็บ!A12</f>
        <v>8</v>
      </c>
      <c r="B12" s="11">
        <f>คะแนนเก็บ!B12</f>
        <v>0</v>
      </c>
      <c r="C12" s="11">
        <f>คะแนนเก็บ!C12</f>
        <v>0</v>
      </c>
      <c r="D12" s="13"/>
      <c r="E12" s="13"/>
      <c r="F12" s="13"/>
      <c r="G12" s="13"/>
      <c r="H12" s="13"/>
      <c r="I12" s="20" t="str">
        <f t="shared" si="0"/>
        <v/>
      </c>
      <c r="J12" s="17"/>
      <c r="K12" s="17"/>
      <c r="L12" s="17"/>
      <c r="M12" s="17"/>
      <c r="N12" s="17"/>
      <c r="O12" s="17"/>
      <c r="P12" s="17"/>
      <c r="Q12" s="17"/>
      <c r="R12" s="17"/>
    </row>
    <row r="13" spans="1:18">
      <c r="A13" s="26" t="str">
        <f>คะแนนเก็บ!A13</f>
        <v>9</v>
      </c>
      <c r="B13" s="11">
        <f>คะแนนเก็บ!B13</f>
        <v>0</v>
      </c>
      <c r="C13" s="11">
        <f>คะแนนเก็บ!C13</f>
        <v>0</v>
      </c>
      <c r="D13" s="13"/>
      <c r="E13" s="13"/>
      <c r="F13" s="13"/>
      <c r="G13" s="13"/>
      <c r="H13" s="13"/>
      <c r="I13" s="20" t="str">
        <f t="shared" si="0"/>
        <v/>
      </c>
      <c r="J13" s="17"/>
      <c r="K13" s="17"/>
      <c r="L13" s="17"/>
      <c r="M13" s="17"/>
      <c r="N13" s="17"/>
      <c r="O13" s="17"/>
      <c r="P13" s="17"/>
      <c r="Q13" s="17"/>
      <c r="R13" s="17"/>
    </row>
    <row r="14" spans="1:18">
      <c r="A14" s="26" t="str">
        <f>คะแนนเก็บ!A14</f>
        <v>10</v>
      </c>
      <c r="B14" s="11">
        <f>คะแนนเก็บ!B14</f>
        <v>0</v>
      </c>
      <c r="C14" s="11">
        <f>คะแนนเก็บ!C14</f>
        <v>0</v>
      </c>
      <c r="D14" s="13"/>
      <c r="E14" s="13"/>
      <c r="F14" s="13"/>
      <c r="G14" s="13"/>
      <c r="H14" s="13"/>
      <c r="I14" s="20" t="str">
        <f t="shared" si="0"/>
        <v/>
      </c>
      <c r="J14" s="17"/>
      <c r="K14" s="17"/>
      <c r="L14" s="17"/>
      <c r="M14" s="17"/>
      <c r="N14" s="17"/>
      <c r="O14" s="17"/>
      <c r="P14" s="17"/>
      <c r="Q14" s="17"/>
      <c r="R14" s="17"/>
    </row>
    <row r="15" spans="1:18">
      <c r="A15" s="26" t="str">
        <f>คะแนนเก็บ!A15</f>
        <v>11</v>
      </c>
      <c r="B15" s="11">
        <f>คะแนนเก็บ!B15</f>
        <v>0</v>
      </c>
      <c r="C15" s="11">
        <f>คะแนนเก็บ!C15</f>
        <v>0</v>
      </c>
      <c r="D15" s="13"/>
      <c r="E15" s="13"/>
      <c r="F15" s="13"/>
      <c r="G15" s="13"/>
      <c r="H15" s="13"/>
      <c r="I15" s="20" t="str">
        <f t="shared" si="0"/>
        <v/>
      </c>
      <c r="J15" s="17"/>
      <c r="K15" s="17"/>
      <c r="L15" s="17"/>
      <c r="M15" s="17"/>
      <c r="N15" s="17"/>
      <c r="O15" s="17"/>
      <c r="P15" s="17"/>
      <c r="Q15" s="17"/>
      <c r="R15" s="17"/>
    </row>
    <row r="16" spans="1:18">
      <c r="A16" s="26" t="str">
        <f>คะแนนเก็บ!A16</f>
        <v>12</v>
      </c>
      <c r="B16" s="11">
        <f>คะแนนเก็บ!B16</f>
        <v>0</v>
      </c>
      <c r="C16" s="11">
        <f>คะแนนเก็บ!C16</f>
        <v>0</v>
      </c>
      <c r="D16" s="13"/>
      <c r="E16" s="13"/>
      <c r="F16" s="13"/>
      <c r="G16" s="13"/>
      <c r="H16" s="13"/>
      <c r="I16" s="20" t="str">
        <f t="shared" si="0"/>
        <v/>
      </c>
      <c r="J16" s="17"/>
      <c r="K16" s="17"/>
      <c r="L16" s="17"/>
      <c r="M16" s="17"/>
      <c r="N16" s="17"/>
      <c r="O16" s="17"/>
      <c r="P16" s="17"/>
      <c r="Q16" s="17"/>
      <c r="R16" s="17"/>
    </row>
    <row r="17" spans="1:18">
      <c r="A17" s="26" t="str">
        <f>คะแนนเก็บ!A17</f>
        <v>13</v>
      </c>
      <c r="B17" s="11">
        <f>คะแนนเก็บ!B17</f>
        <v>0</v>
      </c>
      <c r="C17" s="11">
        <f>คะแนนเก็บ!C17</f>
        <v>0</v>
      </c>
      <c r="D17" s="13"/>
      <c r="E17" s="13"/>
      <c r="F17" s="13"/>
      <c r="G17" s="13"/>
      <c r="H17" s="13"/>
      <c r="I17" s="20" t="str">
        <f t="shared" si="0"/>
        <v/>
      </c>
      <c r="J17" s="17"/>
      <c r="K17" s="17"/>
      <c r="L17" s="17"/>
      <c r="M17" s="17"/>
      <c r="N17" s="17"/>
      <c r="O17" s="17"/>
      <c r="P17" s="17"/>
      <c r="Q17" s="17"/>
      <c r="R17" s="17"/>
    </row>
    <row r="18" spans="1:18">
      <c r="A18" s="26" t="str">
        <f>คะแนนเก็บ!A18</f>
        <v>14</v>
      </c>
      <c r="B18" s="11">
        <f>คะแนนเก็บ!B18</f>
        <v>0</v>
      </c>
      <c r="C18" s="11">
        <f>คะแนนเก็บ!C18</f>
        <v>0</v>
      </c>
      <c r="D18" s="13"/>
      <c r="E18" s="13"/>
      <c r="F18" s="13"/>
      <c r="G18" s="13"/>
      <c r="H18" s="13"/>
      <c r="I18" s="20" t="str">
        <f t="shared" si="0"/>
        <v/>
      </c>
      <c r="J18" s="17"/>
      <c r="K18" s="17"/>
      <c r="L18" s="17"/>
      <c r="M18" s="17"/>
      <c r="N18" s="17"/>
      <c r="O18" s="17"/>
      <c r="P18" s="17"/>
      <c r="Q18" s="17"/>
      <c r="R18" s="17"/>
    </row>
    <row r="19" spans="1:18">
      <c r="A19" s="26" t="str">
        <f>คะแนนเก็บ!A19</f>
        <v>15</v>
      </c>
      <c r="B19" s="11">
        <f>คะแนนเก็บ!B19</f>
        <v>0</v>
      </c>
      <c r="C19" s="11">
        <f>คะแนนเก็บ!C19</f>
        <v>0</v>
      </c>
      <c r="D19" s="13"/>
      <c r="E19" s="13"/>
      <c r="F19" s="13"/>
      <c r="G19" s="13"/>
      <c r="H19" s="13"/>
      <c r="I19" s="20" t="str">
        <f t="shared" si="0"/>
        <v/>
      </c>
      <c r="J19" s="17"/>
      <c r="K19" s="17"/>
      <c r="L19" s="17"/>
      <c r="M19" s="17"/>
      <c r="N19" s="17"/>
      <c r="O19" s="17"/>
      <c r="P19" s="17"/>
      <c r="Q19" s="17"/>
      <c r="R19" s="17"/>
    </row>
    <row r="20" spans="1:18">
      <c r="A20" s="26" t="str">
        <f>คะแนนเก็บ!A20</f>
        <v>16</v>
      </c>
      <c r="B20" s="11">
        <f>คะแนนเก็บ!B20</f>
        <v>0</v>
      </c>
      <c r="C20" s="11">
        <f>คะแนนเก็บ!C20</f>
        <v>0</v>
      </c>
      <c r="D20" s="13"/>
      <c r="E20" s="13"/>
      <c r="F20" s="13"/>
      <c r="G20" s="13"/>
      <c r="H20" s="13"/>
      <c r="I20" s="20" t="str">
        <f t="shared" si="0"/>
        <v/>
      </c>
      <c r="J20" s="17"/>
      <c r="K20" s="17"/>
      <c r="L20" s="17"/>
      <c r="M20" s="17"/>
      <c r="N20" s="17"/>
      <c r="O20" s="17"/>
      <c r="P20" s="17"/>
      <c r="Q20" s="17"/>
      <c r="R20" s="17"/>
    </row>
    <row r="21" spans="1:18">
      <c r="A21" s="26" t="str">
        <f>คะแนนเก็บ!A21</f>
        <v>17</v>
      </c>
      <c r="B21" s="11">
        <f>คะแนนเก็บ!B21</f>
        <v>0</v>
      </c>
      <c r="C21" s="11">
        <f>คะแนนเก็บ!C21</f>
        <v>0</v>
      </c>
      <c r="D21" s="13"/>
      <c r="E21" s="13"/>
      <c r="F21" s="13"/>
      <c r="G21" s="13"/>
      <c r="H21" s="13"/>
      <c r="I21" s="20" t="str">
        <f t="shared" si="0"/>
        <v/>
      </c>
      <c r="J21" s="17"/>
      <c r="K21" s="17"/>
      <c r="L21" s="17"/>
      <c r="M21" s="17"/>
      <c r="N21" s="17"/>
      <c r="O21" s="17"/>
      <c r="P21" s="17"/>
      <c r="Q21" s="17"/>
      <c r="R21" s="17"/>
    </row>
    <row r="22" spans="1:18">
      <c r="A22" s="26" t="str">
        <f>คะแนนเก็บ!A22</f>
        <v>18</v>
      </c>
      <c r="B22" s="11">
        <f>คะแนนเก็บ!B22</f>
        <v>0</v>
      </c>
      <c r="C22" s="11">
        <f>คะแนนเก็บ!C22</f>
        <v>0</v>
      </c>
      <c r="D22" s="13"/>
      <c r="E22" s="13"/>
      <c r="F22" s="13"/>
      <c r="G22" s="13"/>
      <c r="H22" s="13"/>
      <c r="I22" s="20" t="str">
        <f t="shared" si="0"/>
        <v/>
      </c>
      <c r="J22" s="17"/>
      <c r="K22" s="17"/>
      <c r="L22" s="17"/>
      <c r="M22" s="17"/>
      <c r="N22" s="17"/>
      <c r="O22" s="17"/>
      <c r="P22" s="17"/>
      <c r="Q22" s="17"/>
      <c r="R22" s="17"/>
    </row>
    <row r="23" spans="1:18">
      <c r="A23" s="26" t="str">
        <f>คะแนนเก็บ!A23</f>
        <v>19</v>
      </c>
      <c r="B23" s="11">
        <f>คะแนนเก็บ!B23</f>
        <v>0</v>
      </c>
      <c r="C23" s="11">
        <f>คะแนนเก็บ!C23</f>
        <v>0</v>
      </c>
      <c r="D23" s="13"/>
      <c r="E23" s="13"/>
      <c r="F23" s="13"/>
      <c r="G23" s="13"/>
      <c r="H23" s="13"/>
      <c r="I23" s="20" t="str">
        <f t="shared" si="0"/>
        <v/>
      </c>
      <c r="J23" s="17"/>
      <c r="K23" s="17"/>
      <c r="L23" s="17"/>
      <c r="M23" s="17"/>
      <c r="N23" s="17"/>
      <c r="O23" s="17"/>
      <c r="P23" s="17"/>
      <c r="Q23" s="17"/>
      <c r="R23" s="17"/>
    </row>
    <row r="24" spans="1:18">
      <c r="A24" s="26" t="str">
        <f>คะแนนเก็บ!A24</f>
        <v>20</v>
      </c>
      <c r="B24" s="11">
        <f>คะแนนเก็บ!B24</f>
        <v>0</v>
      </c>
      <c r="C24" s="11">
        <f>คะแนนเก็บ!C24</f>
        <v>0</v>
      </c>
      <c r="D24" s="13"/>
      <c r="E24" s="13"/>
      <c r="F24" s="13"/>
      <c r="G24" s="13"/>
      <c r="H24" s="13"/>
      <c r="I24" s="20" t="str">
        <f t="shared" si="0"/>
        <v/>
      </c>
      <c r="J24" s="17"/>
      <c r="K24" s="17"/>
      <c r="L24" s="17"/>
      <c r="M24" s="17"/>
      <c r="N24" s="17"/>
      <c r="O24" s="17"/>
      <c r="P24" s="17"/>
      <c r="Q24" s="17"/>
      <c r="R24" s="17"/>
    </row>
    <row r="25" spans="1:18">
      <c r="A25" s="26" t="str">
        <f>คะแนนเก็บ!A25</f>
        <v>21</v>
      </c>
      <c r="B25" s="11">
        <f>คะแนนเก็บ!B25</f>
        <v>0</v>
      </c>
      <c r="C25" s="11">
        <f>คะแนนเก็บ!C25</f>
        <v>0</v>
      </c>
      <c r="D25" s="13"/>
      <c r="E25" s="13"/>
      <c r="F25" s="13"/>
      <c r="G25" s="13"/>
      <c r="H25" s="13"/>
      <c r="I25" s="20" t="str">
        <f t="shared" si="0"/>
        <v/>
      </c>
      <c r="J25" s="17"/>
      <c r="K25" s="17"/>
      <c r="L25" s="17"/>
      <c r="M25" s="17"/>
      <c r="N25" s="17"/>
      <c r="O25" s="17"/>
      <c r="P25" s="17"/>
      <c r="Q25" s="17"/>
      <c r="R25" s="17"/>
    </row>
    <row r="26" spans="1:18">
      <c r="A26" s="26" t="str">
        <f>คะแนนเก็บ!A26</f>
        <v>22</v>
      </c>
      <c r="B26" s="11">
        <f>คะแนนเก็บ!B26</f>
        <v>0</v>
      </c>
      <c r="C26" s="11">
        <f>คะแนนเก็บ!C26</f>
        <v>0</v>
      </c>
      <c r="D26" s="13"/>
      <c r="E26" s="13"/>
      <c r="F26" s="13"/>
      <c r="G26" s="13"/>
      <c r="H26" s="13"/>
      <c r="I26" s="20" t="str">
        <f t="shared" si="0"/>
        <v/>
      </c>
      <c r="J26" s="17"/>
      <c r="K26" s="17"/>
      <c r="L26" s="17"/>
      <c r="M26" s="17"/>
      <c r="N26" s="17"/>
      <c r="O26" s="17"/>
      <c r="P26" s="17"/>
      <c r="Q26" s="17"/>
      <c r="R26" s="17"/>
    </row>
    <row r="27" spans="1:18">
      <c r="A27" s="26" t="str">
        <f>คะแนนเก็บ!A27</f>
        <v>23</v>
      </c>
      <c r="B27" s="11">
        <f>คะแนนเก็บ!B27</f>
        <v>0</v>
      </c>
      <c r="C27" s="11">
        <f>คะแนนเก็บ!C27</f>
        <v>0</v>
      </c>
      <c r="D27" s="13"/>
      <c r="E27" s="13"/>
      <c r="F27" s="13"/>
      <c r="G27" s="13"/>
      <c r="H27" s="13"/>
      <c r="I27" s="20" t="str">
        <f t="shared" si="0"/>
        <v/>
      </c>
      <c r="J27" s="17"/>
      <c r="K27" s="17"/>
      <c r="L27" s="17"/>
      <c r="M27" s="17"/>
      <c r="N27" s="17"/>
      <c r="O27" s="17"/>
      <c r="P27" s="17"/>
      <c r="Q27" s="17"/>
      <c r="R27" s="17"/>
    </row>
    <row r="28" spans="1:18">
      <c r="A28" s="26" t="str">
        <f>คะแนนเก็บ!A28</f>
        <v>24</v>
      </c>
      <c r="B28" s="11">
        <f>คะแนนเก็บ!B28</f>
        <v>0</v>
      </c>
      <c r="C28" s="11">
        <f>คะแนนเก็บ!C28</f>
        <v>0</v>
      </c>
      <c r="D28" s="13"/>
      <c r="E28" s="13"/>
      <c r="F28" s="13"/>
      <c r="G28" s="13"/>
      <c r="H28" s="13"/>
      <c r="I28" s="20" t="str">
        <f t="shared" si="0"/>
        <v/>
      </c>
      <c r="J28" s="17"/>
      <c r="K28" s="17"/>
      <c r="L28" s="17"/>
      <c r="M28" s="17"/>
      <c r="N28" s="17"/>
      <c r="O28" s="17"/>
      <c r="P28" s="17"/>
      <c r="Q28" s="17"/>
      <c r="R28" s="17"/>
    </row>
    <row r="29" spans="1:18">
      <c r="A29" s="26" t="str">
        <f>คะแนนเก็บ!A29</f>
        <v>25</v>
      </c>
      <c r="B29" s="11">
        <f>คะแนนเก็บ!B29</f>
        <v>0</v>
      </c>
      <c r="C29" s="11">
        <f>คะแนนเก็บ!C29</f>
        <v>0</v>
      </c>
      <c r="D29" s="13"/>
      <c r="E29" s="13"/>
      <c r="F29" s="13"/>
      <c r="G29" s="13"/>
      <c r="H29" s="13"/>
      <c r="I29" s="20" t="str">
        <f t="shared" si="0"/>
        <v/>
      </c>
      <c r="J29" s="17"/>
      <c r="K29" s="17"/>
      <c r="L29" s="17"/>
      <c r="M29" s="17"/>
      <c r="N29" s="17"/>
      <c r="O29" s="17"/>
      <c r="P29" s="17"/>
      <c r="Q29" s="17"/>
      <c r="R29" s="17"/>
    </row>
    <row r="30" spans="1:18">
      <c r="A30" s="26" t="str">
        <f>คะแนนเก็บ!A30</f>
        <v>26</v>
      </c>
      <c r="B30" s="11">
        <f>คะแนนเก็บ!B30</f>
        <v>0</v>
      </c>
      <c r="C30" s="11">
        <f>คะแนนเก็บ!C30</f>
        <v>0</v>
      </c>
      <c r="D30" s="13"/>
      <c r="E30" s="13"/>
      <c r="F30" s="13"/>
      <c r="G30" s="13"/>
      <c r="H30" s="13"/>
      <c r="I30" s="20" t="str">
        <f t="shared" si="0"/>
        <v/>
      </c>
      <c r="J30" s="17"/>
      <c r="K30" s="17"/>
      <c r="L30" s="17"/>
      <c r="M30" s="17"/>
      <c r="N30" s="17"/>
      <c r="O30" s="17"/>
      <c r="P30" s="17"/>
      <c r="Q30" s="17"/>
      <c r="R30" s="17"/>
    </row>
    <row r="31" spans="1:18">
      <c r="A31" s="26" t="str">
        <f>คะแนนเก็บ!A31</f>
        <v>27</v>
      </c>
      <c r="B31" s="11">
        <f>คะแนนเก็บ!B31</f>
        <v>0</v>
      </c>
      <c r="C31" s="11">
        <f>คะแนนเก็บ!C31</f>
        <v>0</v>
      </c>
      <c r="D31" s="13"/>
      <c r="E31" s="13"/>
      <c r="F31" s="13"/>
      <c r="G31" s="13"/>
      <c r="H31" s="13"/>
      <c r="I31" s="20" t="str">
        <f t="shared" si="0"/>
        <v/>
      </c>
      <c r="J31" s="17"/>
      <c r="K31" s="17"/>
      <c r="L31" s="17"/>
      <c r="M31" s="17"/>
      <c r="N31" s="17"/>
      <c r="O31" s="17"/>
      <c r="P31" s="17"/>
      <c r="Q31" s="17"/>
      <c r="R31" s="17"/>
    </row>
    <row r="32" spans="1:18">
      <c r="A32" s="26" t="str">
        <f>คะแนนเก็บ!A32</f>
        <v>28</v>
      </c>
      <c r="B32" s="11">
        <f>คะแนนเก็บ!B32</f>
        <v>0</v>
      </c>
      <c r="C32" s="11">
        <f>คะแนนเก็บ!C32</f>
        <v>0</v>
      </c>
      <c r="D32" s="13"/>
      <c r="E32" s="13"/>
      <c r="F32" s="13"/>
      <c r="G32" s="13"/>
      <c r="H32" s="13"/>
      <c r="I32" s="20" t="str">
        <f t="shared" si="0"/>
        <v/>
      </c>
      <c r="J32" s="17"/>
      <c r="K32" s="17"/>
      <c r="L32" s="17"/>
      <c r="M32" s="17"/>
      <c r="N32" s="17"/>
      <c r="O32" s="17"/>
      <c r="P32" s="17"/>
      <c r="Q32" s="17"/>
      <c r="R32" s="17"/>
    </row>
    <row r="33" spans="1:18">
      <c r="A33" s="26" t="str">
        <f>คะแนนเก็บ!A33</f>
        <v>29</v>
      </c>
      <c r="B33" s="11">
        <f>คะแนนเก็บ!B33</f>
        <v>0</v>
      </c>
      <c r="C33" s="11">
        <f>คะแนนเก็บ!C33</f>
        <v>0</v>
      </c>
      <c r="D33" s="13"/>
      <c r="E33" s="13"/>
      <c r="F33" s="13"/>
      <c r="G33" s="13"/>
      <c r="H33" s="13"/>
      <c r="I33" s="20" t="str">
        <f t="shared" si="0"/>
        <v/>
      </c>
      <c r="J33" s="17"/>
      <c r="K33" s="17"/>
      <c r="L33" s="17"/>
      <c r="M33" s="17"/>
      <c r="N33" s="17"/>
      <c r="O33" s="17"/>
      <c r="P33" s="17"/>
      <c r="Q33" s="17"/>
      <c r="R33" s="17"/>
    </row>
    <row r="34" spans="1:18">
      <c r="A34" s="26" t="str">
        <f>คะแนนเก็บ!A34</f>
        <v>30</v>
      </c>
      <c r="B34" s="11">
        <f>คะแนนเก็บ!B34</f>
        <v>0</v>
      </c>
      <c r="C34" s="11">
        <f>คะแนนเก็บ!C34</f>
        <v>0</v>
      </c>
      <c r="D34" s="13"/>
      <c r="E34" s="13"/>
      <c r="F34" s="13"/>
      <c r="G34" s="13"/>
      <c r="H34" s="13"/>
      <c r="I34" s="20" t="str">
        <f t="shared" si="0"/>
        <v/>
      </c>
      <c r="J34" s="17"/>
      <c r="K34" s="17"/>
      <c r="L34" s="17"/>
      <c r="M34" s="17"/>
      <c r="N34" s="17"/>
      <c r="O34" s="17"/>
      <c r="P34" s="17"/>
      <c r="Q34" s="17"/>
      <c r="R34" s="17"/>
    </row>
    <row r="35" spans="1:18">
      <c r="A35" s="26" t="str">
        <f>คะแนนเก็บ!A35</f>
        <v>31</v>
      </c>
      <c r="B35" s="11">
        <f>คะแนนเก็บ!B35</f>
        <v>0</v>
      </c>
      <c r="C35" s="11">
        <f>คะแนนเก็บ!C35</f>
        <v>0</v>
      </c>
      <c r="D35" s="13"/>
      <c r="E35" s="13"/>
      <c r="F35" s="13"/>
      <c r="G35" s="13"/>
      <c r="H35" s="13"/>
      <c r="I35" s="20" t="str">
        <f t="shared" si="0"/>
        <v/>
      </c>
      <c r="J35" s="17"/>
      <c r="K35" s="17"/>
      <c r="L35" s="17"/>
      <c r="M35" s="17"/>
      <c r="N35" s="17"/>
      <c r="O35" s="17"/>
      <c r="P35" s="17"/>
      <c r="Q35" s="17"/>
      <c r="R35" s="17"/>
    </row>
    <row r="36" spans="1:18">
      <c r="A36" s="26" t="str">
        <f>คะแนนเก็บ!A36</f>
        <v>32</v>
      </c>
      <c r="B36" s="11">
        <f>คะแนนเก็บ!B36</f>
        <v>0</v>
      </c>
      <c r="C36" s="11">
        <f>คะแนนเก็บ!C36</f>
        <v>0</v>
      </c>
      <c r="D36" s="13"/>
      <c r="E36" s="13"/>
      <c r="F36" s="13"/>
      <c r="G36" s="13"/>
      <c r="H36" s="13"/>
      <c r="I36" s="20" t="str">
        <f t="shared" si="0"/>
        <v/>
      </c>
      <c r="J36" s="17"/>
      <c r="K36" s="17"/>
      <c r="L36" s="17"/>
      <c r="M36" s="17"/>
      <c r="N36" s="17"/>
      <c r="O36" s="17"/>
      <c r="P36" s="17"/>
      <c r="Q36" s="17"/>
      <c r="R36" s="17"/>
    </row>
    <row r="37" spans="1:18">
      <c r="A37" s="26" t="str">
        <f>คะแนนเก็บ!A37</f>
        <v>33</v>
      </c>
      <c r="B37" s="11">
        <f>คะแนนเก็บ!B37</f>
        <v>0</v>
      </c>
      <c r="C37" s="11">
        <f>คะแนนเก็บ!C37</f>
        <v>0</v>
      </c>
      <c r="D37" s="13"/>
      <c r="E37" s="13"/>
      <c r="F37" s="13"/>
      <c r="G37" s="13"/>
      <c r="H37" s="13"/>
      <c r="I37" s="20" t="str">
        <f t="shared" si="0"/>
        <v/>
      </c>
      <c r="J37" s="17"/>
      <c r="K37" s="17"/>
      <c r="L37" s="17"/>
      <c r="M37" s="17"/>
      <c r="N37" s="17"/>
      <c r="O37" s="17"/>
      <c r="P37" s="17"/>
      <c r="Q37" s="17"/>
      <c r="R37" s="17"/>
    </row>
    <row r="38" spans="1:18">
      <c r="A38" s="26" t="str">
        <f>คะแนนเก็บ!A38</f>
        <v>34</v>
      </c>
      <c r="B38" s="11">
        <f>คะแนนเก็บ!B38</f>
        <v>0</v>
      </c>
      <c r="C38" s="11">
        <f>คะแนนเก็บ!C38</f>
        <v>0</v>
      </c>
      <c r="D38" s="13"/>
      <c r="E38" s="13"/>
      <c r="F38" s="13"/>
      <c r="G38" s="13"/>
      <c r="H38" s="13"/>
      <c r="I38" s="20" t="str">
        <f t="shared" si="0"/>
        <v/>
      </c>
      <c r="J38" s="17"/>
      <c r="K38" s="17"/>
      <c r="L38" s="17"/>
      <c r="M38" s="17"/>
      <c r="N38" s="17"/>
      <c r="O38" s="17"/>
      <c r="P38" s="17"/>
      <c r="Q38" s="17"/>
      <c r="R38" s="17"/>
    </row>
    <row r="39" spans="1:18">
      <c r="A39" s="26" t="str">
        <f>คะแนนเก็บ!A39</f>
        <v>35</v>
      </c>
      <c r="B39" s="11">
        <f>คะแนนเก็บ!B39</f>
        <v>0</v>
      </c>
      <c r="C39" s="11">
        <f>คะแนนเก็บ!C39</f>
        <v>0</v>
      </c>
      <c r="D39" s="13"/>
      <c r="E39" s="13"/>
      <c r="F39" s="13"/>
      <c r="G39" s="13"/>
      <c r="H39" s="13"/>
      <c r="I39" s="20" t="str">
        <f t="shared" si="0"/>
        <v/>
      </c>
      <c r="J39" s="17"/>
      <c r="K39" s="17"/>
      <c r="L39" s="17"/>
      <c r="M39" s="17"/>
      <c r="N39" s="17"/>
      <c r="O39" s="17"/>
      <c r="P39" s="17"/>
      <c r="Q39" s="17"/>
      <c r="R39" s="17"/>
    </row>
    <row r="40" spans="1:18">
      <c r="A40" s="26" t="str">
        <f>คะแนนเก็บ!A40</f>
        <v>36</v>
      </c>
      <c r="B40" s="11">
        <f>คะแนนเก็บ!B40</f>
        <v>0</v>
      </c>
      <c r="C40" s="11">
        <f>คะแนนเก็บ!C40</f>
        <v>0</v>
      </c>
      <c r="D40" s="13"/>
      <c r="E40" s="13"/>
      <c r="F40" s="13"/>
      <c r="G40" s="13"/>
      <c r="H40" s="13"/>
      <c r="I40" s="20" t="str">
        <f t="shared" si="0"/>
        <v/>
      </c>
      <c r="J40" s="17"/>
      <c r="K40" s="17"/>
      <c r="L40" s="17"/>
      <c r="M40" s="17"/>
      <c r="N40" s="17"/>
      <c r="O40" s="17"/>
      <c r="P40" s="17"/>
      <c r="Q40" s="17"/>
      <c r="R40" s="17"/>
    </row>
    <row r="41" spans="1:18">
      <c r="A41" s="26" t="str">
        <f>คะแนนเก็บ!A41</f>
        <v>37</v>
      </c>
      <c r="B41" s="11">
        <f>คะแนนเก็บ!B41</f>
        <v>0</v>
      </c>
      <c r="C41" s="11">
        <f>คะแนนเก็บ!C41</f>
        <v>0</v>
      </c>
      <c r="D41" s="13"/>
      <c r="E41" s="13"/>
      <c r="F41" s="13"/>
      <c r="G41" s="13"/>
      <c r="H41" s="13"/>
      <c r="I41" s="20" t="str">
        <f t="shared" si="0"/>
        <v/>
      </c>
      <c r="J41" s="17"/>
      <c r="K41" s="17"/>
      <c r="L41" s="17"/>
      <c r="M41" s="17"/>
      <c r="N41" s="17"/>
      <c r="O41" s="17"/>
      <c r="P41" s="17"/>
      <c r="Q41" s="17"/>
      <c r="R41" s="17"/>
    </row>
    <row r="42" spans="1:18">
      <c r="A42" s="26" t="str">
        <f>คะแนนเก็บ!A42</f>
        <v>38</v>
      </c>
      <c r="B42" s="11">
        <f>คะแนนเก็บ!B42</f>
        <v>0</v>
      </c>
      <c r="C42" s="11">
        <f>คะแนนเก็บ!C42</f>
        <v>0</v>
      </c>
      <c r="D42" s="13"/>
      <c r="E42" s="13"/>
      <c r="F42" s="13"/>
      <c r="G42" s="13"/>
      <c r="H42" s="13"/>
      <c r="I42" s="20" t="str">
        <f t="shared" si="0"/>
        <v/>
      </c>
      <c r="J42" s="17"/>
      <c r="K42" s="17"/>
      <c r="L42" s="17"/>
      <c r="M42" s="17"/>
      <c r="N42" s="17"/>
      <c r="O42" s="17"/>
      <c r="P42" s="17"/>
      <c r="Q42" s="17"/>
      <c r="R42" s="17"/>
    </row>
    <row r="43" spans="1:18">
      <c r="A43" s="26" t="str">
        <f>คะแนนเก็บ!A43</f>
        <v>39</v>
      </c>
      <c r="B43" s="11">
        <f>คะแนนเก็บ!B43</f>
        <v>0</v>
      </c>
      <c r="C43" s="11">
        <f>คะแนนเก็บ!C43</f>
        <v>0</v>
      </c>
      <c r="D43" s="13"/>
      <c r="E43" s="13"/>
      <c r="F43" s="13"/>
      <c r="G43" s="13"/>
      <c r="H43" s="13"/>
      <c r="I43" s="20" t="str">
        <f t="shared" si="0"/>
        <v/>
      </c>
      <c r="J43" s="17"/>
      <c r="K43" s="17"/>
      <c r="L43" s="17"/>
      <c r="M43" s="17"/>
      <c r="N43" s="17"/>
      <c r="O43" s="17"/>
      <c r="P43" s="17"/>
      <c r="Q43" s="17"/>
      <c r="R43" s="17"/>
    </row>
    <row r="44" spans="1:18">
      <c r="A44" s="26" t="str">
        <f>คะแนนเก็บ!A44</f>
        <v>40</v>
      </c>
      <c r="B44" s="11">
        <f>คะแนนเก็บ!B44</f>
        <v>0</v>
      </c>
      <c r="C44" s="11">
        <f>คะแนนเก็บ!C44</f>
        <v>0</v>
      </c>
      <c r="D44" s="13"/>
      <c r="E44" s="13"/>
      <c r="F44" s="13"/>
      <c r="G44" s="13"/>
      <c r="H44" s="13"/>
      <c r="I44" s="20" t="str">
        <f t="shared" si="0"/>
        <v/>
      </c>
      <c r="J44" s="17"/>
      <c r="K44" s="17"/>
      <c r="L44" s="17"/>
      <c r="M44" s="17"/>
      <c r="N44" s="17"/>
      <c r="O44" s="17"/>
      <c r="P44" s="17"/>
      <c r="Q44" s="17"/>
      <c r="R44" s="17"/>
    </row>
    <row r="45" spans="1:18">
      <c r="A45" s="26" t="str">
        <f>คะแนนเก็บ!A45</f>
        <v>41</v>
      </c>
      <c r="B45" s="11">
        <f>คะแนนเก็บ!B45</f>
        <v>0</v>
      </c>
      <c r="C45" s="11">
        <f>คะแนนเก็บ!C45</f>
        <v>0</v>
      </c>
      <c r="D45" s="13"/>
      <c r="E45" s="13"/>
      <c r="F45" s="13"/>
      <c r="G45" s="13"/>
      <c r="H45" s="13"/>
      <c r="I45" s="20" t="str">
        <f t="shared" si="0"/>
        <v/>
      </c>
      <c r="J45" s="17"/>
      <c r="K45" s="17"/>
      <c r="L45" s="17"/>
      <c r="M45" s="17"/>
      <c r="N45" s="17"/>
      <c r="O45" s="17"/>
      <c r="P45" s="17"/>
      <c r="Q45" s="17"/>
      <c r="R45" s="17"/>
    </row>
    <row r="46" spans="1:18">
      <c r="A46" s="26" t="str">
        <f>คะแนนเก็บ!A46</f>
        <v>42</v>
      </c>
      <c r="B46" s="11">
        <f>คะแนนเก็บ!B46</f>
        <v>0</v>
      </c>
      <c r="C46" s="11">
        <f>คะแนนเก็บ!C46</f>
        <v>0</v>
      </c>
      <c r="D46" s="13"/>
      <c r="E46" s="13"/>
      <c r="F46" s="13"/>
      <c r="G46" s="13"/>
      <c r="H46" s="13"/>
      <c r="I46" s="20" t="str">
        <f t="shared" si="0"/>
        <v/>
      </c>
      <c r="J46" s="17"/>
      <c r="K46" s="17"/>
      <c r="L46" s="17"/>
      <c r="M46" s="17"/>
      <c r="N46" s="17"/>
      <c r="O46" s="17"/>
      <c r="P46" s="17"/>
      <c r="Q46" s="17"/>
      <c r="R46" s="17"/>
    </row>
    <row r="47" spans="1:18">
      <c r="A47" s="26" t="str">
        <f>คะแนนเก็บ!A47</f>
        <v>43</v>
      </c>
      <c r="B47" s="11">
        <f>คะแนนเก็บ!B47</f>
        <v>0</v>
      </c>
      <c r="C47" s="11">
        <f>คะแนนเก็บ!C47</f>
        <v>0</v>
      </c>
      <c r="D47" s="13"/>
      <c r="E47" s="13"/>
      <c r="F47" s="13"/>
      <c r="G47" s="13"/>
      <c r="H47" s="13"/>
      <c r="I47" s="20" t="str">
        <f t="shared" si="0"/>
        <v/>
      </c>
      <c r="J47" s="17"/>
      <c r="K47" s="17"/>
      <c r="L47" s="17"/>
      <c r="M47" s="17"/>
      <c r="N47" s="17"/>
      <c r="O47" s="17"/>
      <c r="P47" s="17"/>
      <c r="Q47" s="17"/>
      <c r="R47" s="17"/>
    </row>
    <row r="48" spans="1:18">
      <c r="A48" s="26" t="str">
        <f>คะแนนเก็บ!A48</f>
        <v>44</v>
      </c>
      <c r="B48" s="11">
        <f>คะแนนเก็บ!B48</f>
        <v>0</v>
      </c>
      <c r="C48" s="11">
        <f>คะแนนเก็บ!C48</f>
        <v>0</v>
      </c>
      <c r="D48" s="13"/>
      <c r="E48" s="13"/>
      <c r="F48" s="13"/>
      <c r="G48" s="13"/>
      <c r="H48" s="13"/>
      <c r="I48" s="20" t="str">
        <f t="shared" si="0"/>
        <v/>
      </c>
      <c r="J48" s="17"/>
      <c r="K48" s="17"/>
      <c r="L48" s="17"/>
      <c r="M48" s="17"/>
      <c r="N48" s="17"/>
      <c r="O48" s="17"/>
      <c r="P48" s="17"/>
      <c r="Q48" s="17"/>
      <c r="R48" s="17"/>
    </row>
    <row r="49" spans="1:18">
      <c r="A49" s="26" t="str">
        <f>คะแนนเก็บ!A49</f>
        <v>45</v>
      </c>
      <c r="B49" s="11">
        <f>คะแนนเก็บ!B49</f>
        <v>0</v>
      </c>
      <c r="C49" s="11">
        <f>คะแนนเก็บ!C49</f>
        <v>0</v>
      </c>
      <c r="D49" s="13"/>
      <c r="E49" s="13"/>
      <c r="F49" s="13"/>
      <c r="G49" s="13"/>
      <c r="H49" s="13"/>
      <c r="I49" s="20" t="str">
        <f t="shared" si="0"/>
        <v/>
      </c>
      <c r="J49" s="17"/>
      <c r="K49" s="17"/>
      <c r="L49" s="17"/>
      <c r="M49" s="17"/>
      <c r="N49" s="17"/>
      <c r="O49" s="17"/>
      <c r="P49" s="17"/>
      <c r="Q49" s="17"/>
      <c r="R49" s="17"/>
    </row>
    <row r="50" spans="1:18">
      <c r="A50" s="26" t="str">
        <f>คะแนนเก็บ!A50</f>
        <v>46</v>
      </c>
      <c r="B50" s="11">
        <f>คะแนนเก็บ!B50</f>
        <v>0</v>
      </c>
      <c r="C50" s="11">
        <f>คะแนนเก็บ!C50</f>
        <v>0</v>
      </c>
      <c r="D50" s="13"/>
      <c r="E50" s="13"/>
      <c r="F50" s="13"/>
      <c r="G50" s="13"/>
      <c r="H50" s="13"/>
      <c r="I50" s="20" t="str">
        <f t="shared" si="0"/>
        <v/>
      </c>
      <c r="J50" s="17"/>
      <c r="K50" s="17"/>
      <c r="L50" s="17"/>
      <c r="M50" s="17"/>
      <c r="N50" s="17"/>
      <c r="O50" s="17"/>
      <c r="P50" s="17"/>
      <c r="Q50" s="17"/>
      <c r="R50" s="17"/>
    </row>
    <row r="51" spans="1:18">
      <c r="A51" s="26" t="str">
        <f>คะแนนเก็บ!A51</f>
        <v>47</v>
      </c>
      <c r="B51" s="11">
        <f>คะแนนเก็บ!B51</f>
        <v>0</v>
      </c>
      <c r="C51" s="11">
        <f>คะแนนเก็บ!C51</f>
        <v>0</v>
      </c>
      <c r="D51" s="13"/>
      <c r="E51" s="13"/>
      <c r="F51" s="13"/>
      <c r="G51" s="13"/>
      <c r="H51" s="13"/>
      <c r="I51" s="20" t="str">
        <f t="shared" si="0"/>
        <v/>
      </c>
    </row>
    <row r="52" spans="1:18">
      <c r="A52" s="26" t="str">
        <f>คะแนนเก็บ!A52</f>
        <v>48</v>
      </c>
      <c r="B52" s="11">
        <f>คะแนนเก็บ!B52</f>
        <v>0</v>
      </c>
      <c r="C52" s="11">
        <f>คะแนนเก็บ!C52</f>
        <v>0</v>
      </c>
      <c r="D52" s="13"/>
      <c r="E52" s="13"/>
      <c r="F52" s="13"/>
      <c r="G52" s="13"/>
      <c r="H52" s="13"/>
      <c r="I52" s="20" t="str">
        <f t="shared" si="0"/>
        <v/>
      </c>
    </row>
    <row r="53" spans="1:18">
      <c r="A53" s="26" t="str">
        <f>คะแนนเก็บ!A53</f>
        <v>49</v>
      </c>
      <c r="B53" s="11">
        <f>คะแนนเก็บ!B53</f>
        <v>0</v>
      </c>
      <c r="C53" s="11">
        <f>คะแนนเก็บ!C53</f>
        <v>0</v>
      </c>
      <c r="D53" s="13"/>
      <c r="E53" s="13"/>
      <c r="F53" s="13"/>
      <c r="G53" s="13"/>
      <c r="H53" s="13"/>
      <c r="I53" s="20" t="str">
        <f t="shared" si="0"/>
        <v/>
      </c>
    </row>
    <row r="54" spans="1:18">
      <c r="A54" s="26" t="str">
        <f>คะแนนเก็บ!A54</f>
        <v>50</v>
      </c>
      <c r="B54" s="11">
        <f>คะแนนเก็บ!B54</f>
        <v>0</v>
      </c>
      <c r="C54" s="11">
        <f>คะแนนเก็บ!C54</f>
        <v>0</v>
      </c>
      <c r="D54" s="13"/>
      <c r="E54" s="13"/>
      <c r="F54" s="13"/>
      <c r="G54" s="13"/>
      <c r="H54" s="13"/>
      <c r="I54" s="20" t="str">
        <f t="shared" si="0"/>
        <v/>
      </c>
    </row>
    <row r="55" spans="1:18">
      <c r="A55" s="26" t="str">
        <f>คะแนนเก็บ!A55</f>
        <v>51</v>
      </c>
      <c r="B55" s="11">
        <f>คะแนนเก็บ!B55</f>
        <v>0</v>
      </c>
      <c r="C55" s="11">
        <f>คะแนนเก็บ!C55</f>
        <v>0</v>
      </c>
      <c r="D55" s="13"/>
      <c r="E55" s="13"/>
      <c r="F55" s="13"/>
      <c r="G55" s="13"/>
      <c r="H55" s="13"/>
      <c r="I55" s="20" t="str">
        <f t="shared" si="0"/>
        <v/>
      </c>
    </row>
    <row r="56" spans="1:18">
      <c r="A56" s="26" t="str">
        <f>คะแนนเก็บ!A56</f>
        <v>52</v>
      </c>
      <c r="B56" s="11">
        <f>คะแนนเก็บ!B56</f>
        <v>0</v>
      </c>
      <c r="C56" s="11">
        <f>คะแนนเก็บ!C56</f>
        <v>0</v>
      </c>
      <c r="D56" s="13"/>
      <c r="E56" s="13"/>
      <c r="F56" s="13"/>
      <c r="G56" s="13"/>
      <c r="H56" s="13"/>
      <c r="I56" s="20" t="str">
        <f t="shared" si="0"/>
        <v/>
      </c>
    </row>
    <row r="57" spans="1:18">
      <c r="A57" s="26" t="str">
        <f>คะแนนเก็บ!A57</f>
        <v>53</v>
      </c>
      <c r="B57" s="11">
        <f>คะแนนเก็บ!B57</f>
        <v>0</v>
      </c>
      <c r="C57" s="11">
        <f>คะแนนเก็บ!C57</f>
        <v>0</v>
      </c>
      <c r="D57" s="13"/>
      <c r="E57" s="13"/>
      <c r="F57" s="13"/>
      <c r="G57" s="13"/>
      <c r="H57" s="13"/>
      <c r="I57" s="20" t="str">
        <f t="shared" si="0"/>
        <v/>
      </c>
    </row>
    <row r="58" spans="1:18">
      <c r="A58" s="26" t="str">
        <f>คะแนนเก็บ!A58</f>
        <v>54</v>
      </c>
      <c r="B58" s="11">
        <f>คะแนนเก็บ!B58</f>
        <v>0</v>
      </c>
      <c r="C58" s="11">
        <f>คะแนนเก็บ!C58</f>
        <v>0</v>
      </c>
      <c r="D58" s="13"/>
      <c r="E58" s="13"/>
      <c r="F58" s="13"/>
      <c r="G58" s="13"/>
      <c r="H58" s="13"/>
      <c r="I58" s="20" t="str">
        <f t="shared" si="0"/>
        <v/>
      </c>
    </row>
    <row r="59" spans="1:18">
      <c r="A59" s="26" t="str">
        <f>คะแนนเก็บ!A59</f>
        <v>55</v>
      </c>
      <c r="B59" s="11">
        <f>คะแนนเก็บ!B59</f>
        <v>0</v>
      </c>
      <c r="C59" s="11">
        <f>คะแนนเก็บ!C59</f>
        <v>0</v>
      </c>
      <c r="D59" s="13"/>
      <c r="E59" s="13"/>
      <c r="F59" s="13"/>
      <c r="G59" s="13"/>
      <c r="H59" s="13"/>
      <c r="I59" s="20" t="str">
        <f t="shared" si="0"/>
        <v/>
      </c>
    </row>
    <row r="60" spans="1:18">
      <c r="A60" s="26" t="str">
        <f>คะแนนเก็บ!A60</f>
        <v>56</v>
      </c>
      <c r="B60" s="11">
        <f>คะแนนเก็บ!B60</f>
        <v>0</v>
      </c>
      <c r="C60" s="11">
        <f>คะแนนเก็บ!C60</f>
        <v>0</v>
      </c>
      <c r="D60" s="13"/>
      <c r="E60" s="13"/>
      <c r="F60" s="13"/>
      <c r="G60" s="13"/>
      <c r="H60" s="13"/>
      <c r="I60" s="20" t="str">
        <f t="shared" si="0"/>
        <v/>
      </c>
    </row>
    <row r="61" spans="1:18">
      <c r="A61" s="26" t="str">
        <f>คะแนนเก็บ!A61</f>
        <v>57</v>
      </c>
      <c r="B61" s="11">
        <f>คะแนนเก็บ!B61</f>
        <v>0</v>
      </c>
      <c r="C61" s="11">
        <f>คะแนนเก็บ!C61</f>
        <v>0</v>
      </c>
      <c r="D61" s="13"/>
      <c r="E61" s="13"/>
      <c r="F61" s="13"/>
      <c r="G61" s="13"/>
      <c r="H61" s="13"/>
      <c r="I61" s="20" t="str">
        <f t="shared" si="0"/>
        <v/>
      </c>
    </row>
    <row r="62" spans="1:18">
      <c r="A62" s="26" t="str">
        <f>คะแนนเก็บ!A62</f>
        <v>58</v>
      </c>
      <c r="B62" s="11">
        <f>คะแนนเก็บ!B62</f>
        <v>0</v>
      </c>
      <c r="C62" s="11">
        <f>คะแนนเก็บ!C62</f>
        <v>0</v>
      </c>
      <c r="D62" s="13"/>
      <c r="E62" s="13"/>
      <c r="F62" s="13"/>
      <c r="G62" s="13"/>
      <c r="H62" s="13"/>
      <c r="I62" s="20" t="str">
        <f t="shared" si="0"/>
        <v/>
      </c>
    </row>
    <row r="63" spans="1:18">
      <c r="A63" s="26" t="str">
        <f>คะแนนเก็บ!A63</f>
        <v>59</v>
      </c>
      <c r="B63" s="11">
        <f>คะแนนเก็บ!B63</f>
        <v>0</v>
      </c>
      <c r="C63" s="11">
        <f>คะแนนเก็บ!C63</f>
        <v>0</v>
      </c>
      <c r="D63" s="13"/>
      <c r="E63" s="13"/>
      <c r="F63" s="13"/>
      <c r="G63" s="13"/>
      <c r="H63" s="13"/>
      <c r="I63" s="20" t="str">
        <f t="shared" si="0"/>
        <v/>
      </c>
    </row>
    <row r="64" spans="1:18">
      <c r="A64" s="26" t="str">
        <f>คะแนนเก็บ!A64</f>
        <v>60</v>
      </c>
      <c r="B64" s="11">
        <f>คะแนนเก็บ!B64</f>
        <v>0</v>
      </c>
      <c r="C64" s="11">
        <f>คะแนนเก็บ!C64</f>
        <v>0</v>
      </c>
      <c r="D64" s="13"/>
      <c r="E64" s="13"/>
      <c r="F64" s="13"/>
      <c r="G64" s="13"/>
      <c r="H64" s="13"/>
      <c r="I64" s="20" t="str">
        <f t="shared" si="0"/>
        <v/>
      </c>
    </row>
  </sheetData>
  <sheetProtection algorithmName="SHA-512" hashValue="IIDLsZlhjCi2Zew2MBhg7yBKso9zQwjyGYMkoGTVwY7yfGyU2Ewtyt7NXu7EHfp+W9GzcC/NJ02Qon6yfzUA9Q==" saltValue="tDrpt1CWYhBxKayxBAq56Q==" spinCount="100000" sheet="1" selectLockedCells="1"/>
  <mergeCells count="6">
    <mergeCell ref="A1:R1"/>
    <mergeCell ref="A2:A4"/>
    <mergeCell ref="B2:B4"/>
    <mergeCell ref="C2:C3"/>
    <mergeCell ref="I2:I3"/>
    <mergeCell ref="D2:H2"/>
  </mergeCells>
  <conditionalFormatting sqref="B5:C64">
    <cfRule type="cellIs" dxfId="2" priority="1" operator="equal">
      <formula>0</formula>
    </cfRule>
    <cfRule type="cellIs" dxfId="1" priority="2" operator="equal">
      <formula>0</formula>
    </cfRule>
  </conditionalFormatting>
  <dataValidations count="4">
    <dataValidation type="whole" operator="lessThanOrEqual" allowBlank="1" showInputMessage="1" showErrorMessage="1" sqref="D4:F4" xr:uid="{B22BEA79-BE70-449C-8F94-FD3694375990}">
      <formula1>3</formula1>
    </dataValidation>
    <dataValidation type="whole" operator="lessThanOrEqual" allowBlank="1" showInputMessage="1" showErrorMessage="1" error="สามารถระบุค่าสูงสุดได้ 3 เท่านั้น" sqref="G4:H4" xr:uid="{50FE091F-C33D-4F38-B2A3-937B0A713BF0}">
      <formula1>3</formula1>
    </dataValidation>
    <dataValidation operator="lessThanOrEqual" allowBlank="1" showInputMessage="1" showErrorMessage="1" error="1. คะแนนที่ได้ต้องไม่เกินค่าของคะแนนเต็ม_x000a_2. ระบุเป็นตัวเลขได้เท่านั้น" sqref="I4:I64" xr:uid="{D56DBC27-DE75-4FE1-ADD3-46B05E4BEB31}"/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H64" xr:uid="{583124B9-ECAD-4FA8-A6A3-0FE8DE3D4153}">
      <formula1>D$4</formula1>
    </dataValidation>
  </dataValidation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1554-D9E1-4890-8847-595EBFF456A6}">
  <sheetPr>
    <tabColor rgb="FFFFFF93"/>
  </sheetPr>
  <dimension ref="A1:W64"/>
  <sheetViews>
    <sheetView zoomScaleNormal="100" workbookViewId="0">
      <pane xSplit="3" ySplit="4" topLeftCell="D5" activePane="bottomRight" state="frozen"/>
      <selection pane="bottomRight" activeCell="P62" sqref="P62"/>
      <selection pane="bottomLeft" activeCell="A5" sqref="A5"/>
      <selection pane="topRight" activeCell="C1" sqref="C1"/>
    </sheetView>
  </sheetViews>
  <sheetFormatPr defaultColWidth="9.28515625" defaultRowHeight="24"/>
  <cols>
    <col min="1" max="1" width="5.7109375" style="1" customWidth="1"/>
    <col min="2" max="2" width="9.28515625" style="2" customWidth="1"/>
    <col min="3" max="3" width="31.42578125" style="2" customWidth="1"/>
    <col min="4" max="13" width="5" style="2" customWidth="1"/>
    <col min="14" max="14" width="5" style="1" customWidth="1"/>
    <col min="15" max="16" width="9.28515625" style="1"/>
    <col min="17" max="17" width="9.28515625" style="1" customWidth="1"/>
    <col min="18" max="16384" width="9.28515625" style="1"/>
  </cols>
  <sheetData>
    <row r="1" spans="1:23">
      <c r="A1" s="60" t="s">
        <v>117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3"/>
      <c r="R1" s="3"/>
      <c r="S1" s="3"/>
      <c r="T1" s="3"/>
      <c r="U1" s="3"/>
      <c r="V1" s="3"/>
      <c r="W1" s="3"/>
    </row>
    <row r="2" spans="1:23" ht="22.5" customHeight="1">
      <c r="A2" s="62" t="s">
        <v>24</v>
      </c>
      <c r="B2" s="62" t="s">
        <v>25</v>
      </c>
      <c r="C2" s="64" t="s">
        <v>26</v>
      </c>
      <c r="D2" s="80" t="s">
        <v>118</v>
      </c>
      <c r="E2" s="81"/>
      <c r="F2" s="81"/>
      <c r="G2" s="81"/>
      <c r="H2" s="81"/>
      <c r="I2" s="81"/>
      <c r="J2" s="81"/>
      <c r="K2" s="81"/>
      <c r="L2" s="81"/>
      <c r="M2" s="82"/>
      <c r="N2" s="78" t="s">
        <v>28</v>
      </c>
      <c r="O2" s="17"/>
      <c r="P2" s="17"/>
    </row>
    <row r="3" spans="1:23" ht="125.65" customHeight="1">
      <c r="A3" s="62"/>
      <c r="B3" s="62"/>
      <c r="C3" s="64"/>
      <c r="D3" s="51" t="s">
        <v>119</v>
      </c>
      <c r="E3" s="51" t="s">
        <v>120</v>
      </c>
      <c r="F3" s="51" t="s">
        <v>121</v>
      </c>
      <c r="G3" s="51" t="s">
        <v>122</v>
      </c>
      <c r="H3" s="51" t="s">
        <v>123</v>
      </c>
      <c r="I3" s="51" t="s">
        <v>124</v>
      </c>
      <c r="J3" s="51" t="s">
        <v>125</v>
      </c>
      <c r="K3" s="51" t="s">
        <v>126</v>
      </c>
      <c r="L3" s="51" t="s">
        <v>127</v>
      </c>
      <c r="M3" s="51" t="s">
        <v>128</v>
      </c>
      <c r="N3" s="79"/>
      <c r="O3" s="17"/>
      <c r="P3" s="17"/>
    </row>
    <row r="4" spans="1:23" ht="21.75" customHeight="1">
      <c r="A4" s="62"/>
      <c r="B4" s="62"/>
      <c r="C4" s="58" t="s">
        <v>34</v>
      </c>
      <c r="D4" s="50">
        <v>3</v>
      </c>
      <c r="E4" s="50">
        <v>3</v>
      </c>
      <c r="F4" s="50">
        <v>3</v>
      </c>
      <c r="G4" s="50">
        <v>3</v>
      </c>
      <c r="H4" s="50">
        <v>3</v>
      </c>
      <c r="I4" s="50"/>
      <c r="J4" s="50"/>
      <c r="K4" s="50"/>
      <c r="L4" s="50"/>
      <c r="M4" s="50"/>
      <c r="N4" s="20">
        <f>IFERROR(MAX(_xlfn.MODE.MULT(D4:M4)), "")</f>
        <v>3</v>
      </c>
      <c r="O4" s="52" t="s">
        <v>111</v>
      </c>
      <c r="P4" s="17"/>
    </row>
    <row r="5" spans="1:23">
      <c r="A5" s="26" t="str">
        <f>คะแนนเก็บ!A5</f>
        <v>1</v>
      </c>
      <c r="B5" s="11" t="str">
        <f>คะแนนเก็บ!B5</f>
        <v>123</v>
      </c>
      <c r="C5" s="11" t="str">
        <f>คะแนนเก็บ!C5</f>
        <v>เด็กชายจับจ่าย รักโรงเรียน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20" t="str">
        <f>IFERROR(MAX(_xlfn.MODE.MULT(D5:M5)), "")</f>
        <v/>
      </c>
      <c r="O5" s="17"/>
      <c r="P5" s="17"/>
    </row>
    <row r="6" spans="1:23">
      <c r="A6" s="26" t="str">
        <f>คะแนนเก็บ!A6</f>
        <v>2</v>
      </c>
      <c r="B6" s="11" t="str">
        <f>คะแนนเก็บ!B6</f>
        <v>456</v>
      </c>
      <c r="C6" s="11" t="str">
        <f>คะแนนเก็บ!C6</f>
        <v>เด็กชายสคูล ไบร์ท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20" t="str">
        <f t="shared" ref="N6:N64" si="0">IFERROR(MAX(_xlfn.MODE.MULT(D6:M6)), "")</f>
        <v/>
      </c>
      <c r="O6" s="17"/>
      <c r="P6" s="17"/>
    </row>
    <row r="7" spans="1:23">
      <c r="A7" s="26" t="str">
        <f>คะแนนเก็บ!A7</f>
        <v>3</v>
      </c>
      <c r="B7" s="11" t="str">
        <f>คะแนนเก็บ!B7</f>
        <v>A123</v>
      </c>
      <c r="C7" s="11" t="str">
        <f>คะแนนเก็บ!C7</f>
        <v>เด็กหญิงน้ำเพชร ใจดี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20" t="str">
        <f t="shared" si="0"/>
        <v/>
      </c>
      <c r="O7" s="17"/>
      <c r="P7" s="17"/>
    </row>
    <row r="8" spans="1:23">
      <c r="A8" s="26" t="str">
        <f>คะแนนเก็บ!A8</f>
        <v>4</v>
      </c>
      <c r="B8" s="11">
        <f>คะแนนเก็บ!B8</f>
        <v>0</v>
      </c>
      <c r="C8" s="11">
        <f>คะแนนเก็บ!C8</f>
        <v>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20" t="str">
        <f t="shared" si="0"/>
        <v/>
      </c>
      <c r="O8" s="17"/>
      <c r="P8" s="17"/>
    </row>
    <row r="9" spans="1:23">
      <c r="A9" s="26" t="str">
        <f>คะแนนเก็บ!A9</f>
        <v>5</v>
      </c>
      <c r="B9" s="11">
        <f>คะแนนเก็บ!B9</f>
        <v>0</v>
      </c>
      <c r="C9" s="11">
        <f>คะแนนเก็บ!C9</f>
        <v>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20" t="str">
        <f t="shared" si="0"/>
        <v/>
      </c>
      <c r="O9" s="17"/>
      <c r="P9" s="17"/>
    </row>
    <row r="10" spans="1:23">
      <c r="A10" s="26" t="str">
        <f>คะแนนเก็บ!A10</f>
        <v>6</v>
      </c>
      <c r="B10" s="11">
        <f>คะแนนเก็บ!B10</f>
        <v>0</v>
      </c>
      <c r="C10" s="11">
        <f>คะแนนเก็บ!C10</f>
        <v>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0" t="str">
        <f t="shared" si="0"/>
        <v/>
      </c>
      <c r="O10" s="17"/>
      <c r="P10" s="17"/>
    </row>
    <row r="11" spans="1:23">
      <c r="A11" s="26" t="str">
        <f>คะแนนเก็บ!A11</f>
        <v>7</v>
      </c>
      <c r="B11" s="11">
        <f>คะแนนเก็บ!B11</f>
        <v>0</v>
      </c>
      <c r="C11" s="11">
        <f>คะแนนเก็บ!C11</f>
        <v>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20" t="str">
        <f t="shared" si="0"/>
        <v/>
      </c>
      <c r="O11" s="17"/>
      <c r="P11" s="17"/>
    </row>
    <row r="12" spans="1:23">
      <c r="A12" s="26" t="str">
        <f>คะแนนเก็บ!A12</f>
        <v>8</v>
      </c>
      <c r="B12" s="11">
        <f>คะแนนเก็บ!B12</f>
        <v>0</v>
      </c>
      <c r="C12" s="11">
        <f>คะแนนเก็บ!C12</f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20" t="str">
        <f t="shared" si="0"/>
        <v/>
      </c>
      <c r="O12" s="17"/>
      <c r="P12" s="17"/>
    </row>
    <row r="13" spans="1:23">
      <c r="A13" s="26" t="str">
        <f>คะแนนเก็บ!A13</f>
        <v>9</v>
      </c>
      <c r="B13" s="11">
        <f>คะแนนเก็บ!B13</f>
        <v>0</v>
      </c>
      <c r="C13" s="11">
        <f>คะแนนเก็บ!C13</f>
        <v>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20" t="str">
        <f t="shared" si="0"/>
        <v/>
      </c>
      <c r="O13" s="17"/>
      <c r="P13" s="17"/>
    </row>
    <row r="14" spans="1:23">
      <c r="A14" s="26" t="str">
        <f>คะแนนเก็บ!A14</f>
        <v>10</v>
      </c>
      <c r="B14" s="11">
        <f>คะแนนเก็บ!B14</f>
        <v>0</v>
      </c>
      <c r="C14" s="11">
        <f>คะแนนเก็บ!C14</f>
        <v>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20" t="str">
        <f t="shared" si="0"/>
        <v/>
      </c>
      <c r="O14" s="17"/>
      <c r="P14" s="17"/>
    </row>
    <row r="15" spans="1:23">
      <c r="A15" s="26" t="str">
        <f>คะแนนเก็บ!A15</f>
        <v>11</v>
      </c>
      <c r="B15" s="11">
        <f>คะแนนเก็บ!B15</f>
        <v>0</v>
      </c>
      <c r="C15" s="11">
        <f>คะแนนเก็บ!C15</f>
        <v>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0" t="str">
        <f t="shared" si="0"/>
        <v/>
      </c>
      <c r="O15" s="17"/>
      <c r="P15" s="17"/>
    </row>
    <row r="16" spans="1:23">
      <c r="A16" s="26" t="str">
        <f>คะแนนเก็บ!A16</f>
        <v>12</v>
      </c>
      <c r="B16" s="11">
        <f>คะแนนเก็บ!B16</f>
        <v>0</v>
      </c>
      <c r="C16" s="11">
        <f>คะแนนเก็บ!C16</f>
        <v>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20" t="str">
        <f t="shared" si="0"/>
        <v/>
      </c>
      <c r="O16" s="17"/>
      <c r="P16" s="17"/>
    </row>
    <row r="17" spans="1:16">
      <c r="A17" s="26" t="str">
        <f>คะแนนเก็บ!A17</f>
        <v>13</v>
      </c>
      <c r="B17" s="11">
        <f>คะแนนเก็บ!B17</f>
        <v>0</v>
      </c>
      <c r="C17" s="11">
        <f>คะแนนเก็บ!C17</f>
        <v>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20" t="str">
        <f t="shared" si="0"/>
        <v/>
      </c>
      <c r="O17" s="17"/>
      <c r="P17" s="17"/>
    </row>
    <row r="18" spans="1:16">
      <c r="A18" s="26" t="str">
        <f>คะแนนเก็บ!A18</f>
        <v>14</v>
      </c>
      <c r="B18" s="11">
        <f>คะแนนเก็บ!B18</f>
        <v>0</v>
      </c>
      <c r="C18" s="11">
        <f>คะแนนเก็บ!C18</f>
        <v>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0" t="str">
        <f t="shared" si="0"/>
        <v/>
      </c>
      <c r="O18" s="17"/>
      <c r="P18" s="17"/>
    </row>
    <row r="19" spans="1:16">
      <c r="A19" s="26" t="str">
        <f>คะแนนเก็บ!A19</f>
        <v>15</v>
      </c>
      <c r="B19" s="11">
        <f>คะแนนเก็บ!B19</f>
        <v>0</v>
      </c>
      <c r="C19" s="11">
        <f>คะแนนเก็บ!C19</f>
        <v>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20" t="str">
        <f t="shared" si="0"/>
        <v/>
      </c>
      <c r="O19" s="17"/>
      <c r="P19" s="17"/>
    </row>
    <row r="20" spans="1:16">
      <c r="A20" s="26" t="str">
        <f>คะแนนเก็บ!A20</f>
        <v>16</v>
      </c>
      <c r="B20" s="11">
        <f>คะแนนเก็บ!B20</f>
        <v>0</v>
      </c>
      <c r="C20" s="11">
        <f>คะแนนเก็บ!C20</f>
        <v>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20" t="str">
        <f t="shared" si="0"/>
        <v/>
      </c>
      <c r="O20" s="17"/>
      <c r="P20" s="17"/>
    </row>
    <row r="21" spans="1:16">
      <c r="A21" s="26" t="str">
        <f>คะแนนเก็บ!A21</f>
        <v>17</v>
      </c>
      <c r="B21" s="11">
        <f>คะแนนเก็บ!B21</f>
        <v>0</v>
      </c>
      <c r="C21" s="11">
        <f>คะแนนเก็บ!C21</f>
        <v>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0" t="str">
        <f t="shared" si="0"/>
        <v/>
      </c>
      <c r="O21" s="17"/>
      <c r="P21" s="17"/>
    </row>
    <row r="22" spans="1:16">
      <c r="A22" s="26" t="str">
        <f>คะแนนเก็บ!A22</f>
        <v>18</v>
      </c>
      <c r="B22" s="11">
        <f>คะแนนเก็บ!B22</f>
        <v>0</v>
      </c>
      <c r="C22" s="11">
        <f>คะแนนเก็บ!C22</f>
        <v>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0" t="str">
        <f t="shared" si="0"/>
        <v/>
      </c>
      <c r="O22" s="17"/>
      <c r="P22" s="17"/>
    </row>
    <row r="23" spans="1:16">
      <c r="A23" s="26" t="str">
        <f>คะแนนเก็บ!A23</f>
        <v>19</v>
      </c>
      <c r="B23" s="11">
        <f>คะแนนเก็บ!B23</f>
        <v>0</v>
      </c>
      <c r="C23" s="11">
        <f>คะแนนเก็บ!C23</f>
        <v>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20" t="str">
        <f t="shared" si="0"/>
        <v/>
      </c>
      <c r="O23" s="17"/>
      <c r="P23" s="17"/>
    </row>
    <row r="24" spans="1:16">
      <c r="A24" s="26" t="str">
        <f>คะแนนเก็บ!A24</f>
        <v>20</v>
      </c>
      <c r="B24" s="11">
        <f>คะแนนเก็บ!B24</f>
        <v>0</v>
      </c>
      <c r="C24" s="11">
        <f>คะแนนเก็บ!C24</f>
        <v>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0" t="str">
        <f t="shared" si="0"/>
        <v/>
      </c>
      <c r="O24" s="17"/>
      <c r="P24" s="17"/>
    </row>
    <row r="25" spans="1:16">
      <c r="A25" s="26" t="str">
        <f>คะแนนเก็บ!A25</f>
        <v>21</v>
      </c>
      <c r="B25" s="11">
        <f>คะแนนเก็บ!B25</f>
        <v>0</v>
      </c>
      <c r="C25" s="11">
        <f>คะแนนเก็บ!C25</f>
        <v>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20" t="str">
        <f t="shared" si="0"/>
        <v/>
      </c>
      <c r="O25" s="17"/>
      <c r="P25" s="17"/>
    </row>
    <row r="26" spans="1:16">
      <c r="A26" s="26" t="str">
        <f>คะแนนเก็บ!A26</f>
        <v>22</v>
      </c>
      <c r="B26" s="11">
        <f>คะแนนเก็บ!B26</f>
        <v>0</v>
      </c>
      <c r="C26" s="11">
        <f>คะแนนเก็บ!C26</f>
        <v>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20" t="str">
        <f t="shared" si="0"/>
        <v/>
      </c>
      <c r="O26" s="17"/>
      <c r="P26" s="17"/>
    </row>
    <row r="27" spans="1:16">
      <c r="A27" s="26" t="str">
        <f>คะแนนเก็บ!A27</f>
        <v>23</v>
      </c>
      <c r="B27" s="11">
        <f>คะแนนเก็บ!B27</f>
        <v>0</v>
      </c>
      <c r="C27" s="11">
        <f>คะแนนเก็บ!C27</f>
        <v>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0" t="str">
        <f t="shared" si="0"/>
        <v/>
      </c>
      <c r="O27" s="17"/>
      <c r="P27" s="17"/>
    </row>
    <row r="28" spans="1:16">
      <c r="A28" s="26" t="str">
        <f>คะแนนเก็บ!A28</f>
        <v>24</v>
      </c>
      <c r="B28" s="11">
        <f>คะแนนเก็บ!B28</f>
        <v>0</v>
      </c>
      <c r="C28" s="11">
        <f>คะแนนเก็บ!C28</f>
        <v>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0" t="str">
        <f t="shared" si="0"/>
        <v/>
      </c>
      <c r="O28" s="17"/>
      <c r="P28" s="17"/>
    </row>
    <row r="29" spans="1:16">
      <c r="A29" s="26" t="str">
        <f>คะแนนเก็บ!A29</f>
        <v>25</v>
      </c>
      <c r="B29" s="11">
        <f>คะแนนเก็บ!B29</f>
        <v>0</v>
      </c>
      <c r="C29" s="11">
        <f>คะแนนเก็บ!C29</f>
        <v>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20" t="str">
        <f t="shared" si="0"/>
        <v/>
      </c>
      <c r="O29" s="17"/>
      <c r="P29" s="17"/>
    </row>
    <row r="30" spans="1:16">
      <c r="A30" s="26" t="str">
        <f>คะแนนเก็บ!A30</f>
        <v>26</v>
      </c>
      <c r="B30" s="11">
        <f>คะแนนเก็บ!B30</f>
        <v>0</v>
      </c>
      <c r="C30" s="11">
        <f>คะแนนเก็บ!C30</f>
        <v>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20" t="str">
        <f t="shared" si="0"/>
        <v/>
      </c>
      <c r="O30" s="17"/>
      <c r="P30" s="17"/>
    </row>
    <row r="31" spans="1:16">
      <c r="A31" s="26" t="str">
        <f>คะแนนเก็บ!A31</f>
        <v>27</v>
      </c>
      <c r="B31" s="11">
        <f>คะแนนเก็บ!B31</f>
        <v>0</v>
      </c>
      <c r="C31" s="11">
        <f>คะแนนเก็บ!C31</f>
        <v>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0" t="str">
        <f t="shared" si="0"/>
        <v/>
      </c>
      <c r="O31" s="17"/>
      <c r="P31" s="17"/>
    </row>
    <row r="32" spans="1:16">
      <c r="A32" s="26" t="str">
        <f>คะแนนเก็บ!A32</f>
        <v>28</v>
      </c>
      <c r="B32" s="11">
        <f>คะแนนเก็บ!B32</f>
        <v>0</v>
      </c>
      <c r="C32" s="11">
        <f>คะแนนเก็บ!C32</f>
        <v>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20" t="str">
        <f t="shared" si="0"/>
        <v/>
      </c>
      <c r="O32" s="17"/>
      <c r="P32" s="17"/>
    </row>
    <row r="33" spans="1:16">
      <c r="A33" s="26" t="str">
        <f>คะแนนเก็บ!A33</f>
        <v>29</v>
      </c>
      <c r="B33" s="11">
        <f>คะแนนเก็บ!B33</f>
        <v>0</v>
      </c>
      <c r="C33" s="11">
        <f>คะแนนเก็บ!C33</f>
        <v>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20" t="str">
        <f t="shared" si="0"/>
        <v/>
      </c>
      <c r="O33" s="17"/>
      <c r="P33" s="17"/>
    </row>
    <row r="34" spans="1:16">
      <c r="A34" s="26" t="str">
        <f>คะแนนเก็บ!A34</f>
        <v>30</v>
      </c>
      <c r="B34" s="11">
        <f>คะแนนเก็บ!B34</f>
        <v>0</v>
      </c>
      <c r="C34" s="11">
        <f>คะแนนเก็บ!C34</f>
        <v>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0" t="str">
        <f t="shared" si="0"/>
        <v/>
      </c>
      <c r="O34" s="17"/>
      <c r="P34" s="17"/>
    </row>
    <row r="35" spans="1:16">
      <c r="A35" s="26" t="str">
        <f>คะแนนเก็บ!A35</f>
        <v>31</v>
      </c>
      <c r="B35" s="11">
        <f>คะแนนเก็บ!B35</f>
        <v>0</v>
      </c>
      <c r="C35" s="11">
        <f>คะแนนเก็บ!C35</f>
        <v>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0" t="str">
        <f t="shared" si="0"/>
        <v/>
      </c>
      <c r="O35" s="17"/>
      <c r="P35" s="17"/>
    </row>
    <row r="36" spans="1:16">
      <c r="A36" s="26" t="str">
        <f>คะแนนเก็บ!A36</f>
        <v>32</v>
      </c>
      <c r="B36" s="11">
        <f>คะแนนเก็บ!B36</f>
        <v>0</v>
      </c>
      <c r="C36" s="11">
        <f>คะแนนเก็บ!C36</f>
        <v>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0" t="str">
        <f t="shared" si="0"/>
        <v/>
      </c>
      <c r="O36" s="17"/>
      <c r="P36" s="17"/>
    </row>
    <row r="37" spans="1:16">
      <c r="A37" s="26" t="str">
        <f>คะแนนเก็บ!A37</f>
        <v>33</v>
      </c>
      <c r="B37" s="11">
        <f>คะแนนเก็บ!B37</f>
        <v>0</v>
      </c>
      <c r="C37" s="11">
        <f>คะแนนเก็บ!C37</f>
        <v>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0" t="str">
        <f t="shared" si="0"/>
        <v/>
      </c>
      <c r="O37" s="17"/>
      <c r="P37" s="17"/>
    </row>
    <row r="38" spans="1:16">
      <c r="A38" s="26" t="str">
        <f>คะแนนเก็บ!A38</f>
        <v>34</v>
      </c>
      <c r="B38" s="11">
        <f>คะแนนเก็บ!B38</f>
        <v>0</v>
      </c>
      <c r="C38" s="11">
        <f>คะแนนเก็บ!C38</f>
        <v>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20" t="str">
        <f t="shared" si="0"/>
        <v/>
      </c>
      <c r="O38" s="17"/>
      <c r="P38" s="17"/>
    </row>
    <row r="39" spans="1:16">
      <c r="A39" s="26" t="str">
        <f>คะแนนเก็บ!A39</f>
        <v>35</v>
      </c>
      <c r="B39" s="11">
        <f>คะแนนเก็บ!B39</f>
        <v>0</v>
      </c>
      <c r="C39" s="11">
        <f>คะแนนเก็บ!C39</f>
        <v>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20" t="str">
        <f t="shared" si="0"/>
        <v/>
      </c>
      <c r="O39" s="17"/>
      <c r="P39" s="17"/>
    </row>
    <row r="40" spans="1:16">
      <c r="A40" s="26" t="str">
        <f>คะแนนเก็บ!A40</f>
        <v>36</v>
      </c>
      <c r="B40" s="11">
        <f>คะแนนเก็บ!B40</f>
        <v>0</v>
      </c>
      <c r="C40" s="11">
        <f>คะแนนเก็บ!C40</f>
        <v>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20" t="str">
        <f t="shared" si="0"/>
        <v/>
      </c>
      <c r="O40" s="17"/>
      <c r="P40" s="17"/>
    </row>
    <row r="41" spans="1:16">
      <c r="A41" s="26" t="str">
        <f>คะแนนเก็บ!A41</f>
        <v>37</v>
      </c>
      <c r="B41" s="11">
        <f>คะแนนเก็บ!B41</f>
        <v>0</v>
      </c>
      <c r="C41" s="11">
        <f>คะแนนเก็บ!C41</f>
        <v>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20" t="str">
        <f t="shared" si="0"/>
        <v/>
      </c>
      <c r="O41" s="17"/>
      <c r="P41" s="17"/>
    </row>
    <row r="42" spans="1:16">
      <c r="A42" s="26" t="str">
        <f>คะแนนเก็บ!A42</f>
        <v>38</v>
      </c>
      <c r="B42" s="11">
        <f>คะแนนเก็บ!B42</f>
        <v>0</v>
      </c>
      <c r="C42" s="11">
        <f>คะแนนเก็บ!C42</f>
        <v>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20" t="str">
        <f t="shared" si="0"/>
        <v/>
      </c>
      <c r="O42" s="17"/>
      <c r="P42" s="17"/>
    </row>
    <row r="43" spans="1:16">
      <c r="A43" s="26" t="str">
        <f>คะแนนเก็บ!A43</f>
        <v>39</v>
      </c>
      <c r="B43" s="11">
        <f>คะแนนเก็บ!B43</f>
        <v>0</v>
      </c>
      <c r="C43" s="11">
        <f>คะแนนเก็บ!C43</f>
        <v>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20" t="str">
        <f t="shared" si="0"/>
        <v/>
      </c>
      <c r="O43" s="17"/>
      <c r="P43" s="17"/>
    </row>
    <row r="44" spans="1:16">
      <c r="A44" s="26" t="str">
        <f>คะแนนเก็บ!A44</f>
        <v>40</v>
      </c>
      <c r="B44" s="11">
        <f>คะแนนเก็บ!B44</f>
        <v>0</v>
      </c>
      <c r="C44" s="11">
        <f>คะแนนเก็บ!C44</f>
        <v>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20" t="str">
        <f t="shared" si="0"/>
        <v/>
      </c>
      <c r="O44" s="17"/>
      <c r="P44" s="17"/>
    </row>
    <row r="45" spans="1:16">
      <c r="A45" s="26" t="str">
        <f>คะแนนเก็บ!A45</f>
        <v>41</v>
      </c>
      <c r="B45" s="11">
        <f>คะแนนเก็บ!B45</f>
        <v>0</v>
      </c>
      <c r="C45" s="11">
        <f>คะแนนเก็บ!C45</f>
        <v>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20" t="str">
        <f t="shared" si="0"/>
        <v/>
      </c>
      <c r="O45" s="17"/>
      <c r="P45" s="17"/>
    </row>
    <row r="46" spans="1:16">
      <c r="A46" s="26" t="str">
        <f>คะแนนเก็บ!A46</f>
        <v>42</v>
      </c>
      <c r="B46" s="11">
        <f>คะแนนเก็บ!B46</f>
        <v>0</v>
      </c>
      <c r="C46" s="11">
        <f>คะแนนเก็บ!C46</f>
        <v>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20" t="str">
        <f t="shared" si="0"/>
        <v/>
      </c>
      <c r="O46" s="17"/>
      <c r="P46" s="17"/>
    </row>
    <row r="47" spans="1:16">
      <c r="A47" s="26" t="str">
        <f>คะแนนเก็บ!A47</f>
        <v>43</v>
      </c>
      <c r="B47" s="11">
        <f>คะแนนเก็บ!B47</f>
        <v>0</v>
      </c>
      <c r="C47" s="11">
        <f>คะแนนเก็บ!C47</f>
        <v>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20" t="str">
        <f t="shared" si="0"/>
        <v/>
      </c>
      <c r="O47" s="17"/>
      <c r="P47" s="17"/>
    </row>
    <row r="48" spans="1:16">
      <c r="A48" s="26" t="str">
        <f>คะแนนเก็บ!A48</f>
        <v>44</v>
      </c>
      <c r="B48" s="11">
        <f>คะแนนเก็บ!B48</f>
        <v>0</v>
      </c>
      <c r="C48" s="11">
        <f>คะแนนเก็บ!C48</f>
        <v>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20" t="str">
        <f t="shared" si="0"/>
        <v/>
      </c>
      <c r="O48" s="17"/>
      <c r="P48" s="17"/>
    </row>
    <row r="49" spans="1:16">
      <c r="A49" s="26" t="str">
        <f>คะแนนเก็บ!A49</f>
        <v>45</v>
      </c>
      <c r="B49" s="11">
        <f>คะแนนเก็บ!B49</f>
        <v>0</v>
      </c>
      <c r="C49" s="11">
        <f>คะแนนเก็บ!C49</f>
        <v>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20" t="str">
        <f t="shared" si="0"/>
        <v/>
      </c>
      <c r="O49" s="17"/>
      <c r="P49" s="17"/>
    </row>
    <row r="50" spans="1:16">
      <c r="A50" s="26" t="str">
        <f>คะแนนเก็บ!A50</f>
        <v>46</v>
      </c>
      <c r="B50" s="11">
        <f>คะแนนเก็บ!B50</f>
        <v>0</v>
      </c>
      <c r="C50" s="11">
        <f>คะแนนเก็บ!C50</f>
        <v>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20" t="str">
        <f t="shared" si="0"/>
        <v/>
      </c>
      <c r="O50" s="17"/>
      <c r="P50" s="17"/>
    </row>
    <row r="51" spans="1:16">
      <c r="A51" s="26" t="str">
        <f>คะแนนเก็บ!A51</f>
        <v>47</v>
      </c>
      <c r="B51" s="11">
        <f>คะแนนเก็บ!B51</f>
        <v>0</v>
      </c>
      <c r="C51" s="11">
        <f>คะแนนเก็บ!C51</f>
        <v>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20" t="str">
        <f t="shared" si="0"/>
        <v/>
      </c>
    </row>
    <row r="52" spans="1:16">
      <c r="A52" s="26" t="str">
        <f>คะแนนเก็บ!A52</f>
        <v>48</v>
      </c>
      <c r="B52" s="11">
        <f>คะแนนเก็บ!B52</f>
        <v>0</v>
      </c>
      <c r="C52" s="11">
        <f>คะแนนเก็บ!C52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20" t="str">
        <f t="shared" si="0"/>
        <v/>
      </c>
    </row>
    <row r="53" spans="1:16">
      <c r="A53" s="26" t="str">
        <f>คะแนนเก็บ!A53</f>
        <v>49</v>
      </c>
      <c r="B53" s="11">
        <f>คะแนนเก็บ!B53</f>
        <v>0</v>
      </c>
      <c r="C53" s="11">
        <f>คะแนนเก็บ!C53</f>
        <v>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20" t="str">
        <f t="shared" si="0"/>
        <v/>
      </c>
    </row>
    <row r="54" spans="1:16">
      <c r="A54" s="26" t="str">
        <f>คะแนนเก็บ!A54</f>
        <v>50</v>
      </c>
      <c r="B54" s="11">
        <f>คะแนนเก็บ!B54</f>
        <v>0</v>
      </c>
      <c r="C54" s="11">
        <f>คะแนนเก็บ!C54</f>
        <v>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20" t="str">
        <f t="shared" si="0"/>
        <v/>
      </c>
    </row>
    <row r="55" spans="1:16">
      <c r="A55" s="26" t="str">
        <f>คะแนนเก็บ!A55</f>
        <v>51</v>
      </c>
      <c r="B55" s="11">
        <f>คะแนนเก็บ!B55</f>
        <v>0</v>
      </c>
      <c r="C55" s="11">
        <f>คะแนนเก็บ!C55</f>
        <v>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20" t="str">
        <f t="shared" si="0"/>
        <v/>
      </c>
    </row>
    <row r="56" spans="1:16">
      <c r="A56" s="26" t="str">
        <f>คะแนนเก็บ!A56</f>
        <v>52</v>
      </c>
      <c r="B56" s="11">
        <f>คะแนนเก็บ!B56</f>
        <v>0</v>
      </c>
      <c r="C56" s="11">
        <f>คะแนนเก็บ!C56</f>
        <v>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20" t="str">
        <f t="shared" si="0"/>
        <v/>
      </c>
    </row>
    <row r="57" spans="1:16">
      <c r="A57" s="26" t="str">
        <f>คะแนนเก็บ!A57</f>
        <v>53</v>
      </c>
      <c r="B57" s="11">
        <f>คะแนนเก็บ!B57</f>
        <v>0</v>
      </c>
      <c r="C57" s="11">
        <f>คะแนนเก็บ!C57</f>
        <v>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20" t="str">
        <f t="shared" si="0"/>
        <v/>
      </c>
    </row>
    <row r="58" spans="1:16">
      <c r="A58" s="26" t="str">
        <f>คะแนนเก็บ!A58</f>
        <v>54</v>
      </c>
      <c r="B58" s="11">
        <f>คะแนนเก็บ!B58</f>
        <v>0</v>
      </c>
      <c r="C58" s="11">
        <f>คะแนนเก็บ!C58</f>
        <v>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20" t="str">
        <f t="shared" si="0"/>
        <v/>
      </c>
    </row>
    <row r="59" spans="1:16">
      <c r="A59" s="26" t="str">
        <f>คะแนนเก็บ!A59</f>
        <v>55</v>
      </c>
      <c r="B59" s="11">
        <f>คะแนนเก็บ!B59</f>
        <v>0</v>
      </c>
      <c r="C59" s="11">
        <f>คะแนนเก็บ!C59</f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0" t="str">
        <f t="shared" si="0"/>
        <v/>
      </c>
    </row>
    <row r="60" spans="1:16">
      <c r="A60" s="26" t="str">
        <f>คะแนนเก็บ!A60</f>
        <v>56</v>
      </c>
      <c r="B60" s="11">
        <f>คะแนนเก็บ!B60</f>
        <v>0</v>
      </c>
      <c r="C60" s="11">
        <f>คะแนนเก็บ!C60</f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20" t="str">
        <f t="shared" si="0"/>
        <v/>
      </c>
    </row>
    <row r="61" spans="1:16">
      <c r="A61" s="26" t="str">
        <f>คะแนนเก็บ!A61</f>
        <v>57</v>
      </c>
      <c r="B61" s="11">
        <f>คะแนนเก็บ!B61</f>
        <v>0</v>
      </c>
      <c r="C61" s="11">
        <f>คะแนนเก็บ!C61</f>
        <v>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20" t="str">
        <f t="shared" si="0"/>
        <v/>
      </c>
    </row>
    <row r="62" spans="1:16">
      <c r="A62" s="26" t="str">
        <f>คะแนนเก็บ!A62</f>
        <v>58</v>
      </c>
      <c r="B62" s="11">
        <f>คะแนนเก็บ!B62</f>
        <v>0</v>
      </c>
      <c r="C62" s="11">
        <f>คะแนนเก็บ!C62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20" t="str">
        <f t="shared" si="0"/>
        <v/>
      </c>
    </row>
    <row r="63" spans="1:16">
      <c r="A63" s="26" t="str">
        <f>คะแนนเก็บ!A63</f>
        <v>59</v>
      </c>
      <c r="B63" s="11">
        <f>คะแนนเก็บ!B63</f>
        <v>0</v>
      </c>
      <c r="C63" s="11">
        <f>คะแนนเก็บ!C63</f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20" t="str">
        <f t="shared" si="0"/>
        <v/>
      </c>
    </row>
    <row r="64" spans="1:16">
      <c r="A64" s="26" t="str">
        <f>คะแนนเก็บ!A64</f>
        <v>60</v>
      </c>
      <c r="B64" s="11">
        <f>คะแนนเก็บ!B64</f>
        <v>0</v>
      </c>
      <c r="C64" s="11">
        <f>คะแนนเก็บ!C64</f>
        <v>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20" t="str">
        <f t="shared" si="0"/>
        <v/>
      </c>
    </row>
  </sheetData>
  <sheetProtection algorithmName="SHA-512" hashValue="d18yy6Ju1F9sPwcioFHLiA7PzsPuCuottJOF2/sHNUPeOr+nh/mNWbN6mX9u0AX147H7MIow5LqH5DLF6oJGGg==" saltValue="QrsrVQZrW3Fl6TYDzl6xxw==" spinCount="100000" sheet="1" selectLockedCells="1"/>
  <dataConsolidate/>
  <mergeCells count="6">
    <mergeCell ref="A1:P1"/>
    <mergeCell ref="A2:A4"/>
    <mergeCell ref="B2:B4"/>
    <mergeCell ref="C2:C3"/>
    <mergeCell ref="N2:N3"/>
    <mergeCell ref="D2:M2"/>
  </mergeCells>
  <conditionalFormatting sqref="B5:C64">
    <cfRule type="cellIs" dxfId="0" priority="1" operator="equal">
      <formula>0</formula>
    </cfRule>
  </conditionalFormatting>
  <dataValidations count="3">
    <dataValidation operator="lessThanOrEqual" allowBlank="1" showInputMessage="1" showErrorMessage="1" error="1. คะแนนที่ได้ต้องไม่เกินค่าของคะแนนเต็ม_x000a_2. ระบุเป็นตัวเลขได้เท่านั้น" sqref="N4:N64" xr:uid="{E82FB580-1893-4CBE-B762-5BC49060DE3B}"/>
    <dataValidation type="whole" operator="lessThanOrEqual" allowBlank="1" showInputMessage="1" showErrorMessage="1" errorTitle="คะแนนเต็มไม่ถูกต้อง" error="สามารถระบุค่าสูงสุดได้ 3 เท่านั้น" sqref="D4:M4" xr:uid="{B2E0ECA2-1276-463D-A8FA-5FDC54B41F9D}">
      <formula1>3</formula1>
    </dataValidation>
    <dataValidation type="whole" operator="lessThanOrEqual" showInputMessage="1" showErrorMessage="1" error="1. คะแนนที่ได้ต้องไม่เกินค่าของคะแนนเต็ม_x000a_2. ระบุเป็นตัวเลขได้เท่านั้น" sqref="D5:M64" xr:uid="{D99487A3-85AD-44C1-BF8B-CDD19874F556}">
      <formula1>D$4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E55E-60DE-4011-BBFE-EF0432FF0F8D}">
  <dimension ref="A1:GS2"/>
  <sheetViews>
    <sheetView workbookViewId="0">
      <selection activeCell="A2" sqref="A2"/>
    </sheetView>
  </sheetViews>
  <sheetFormatPr defaultRowHeight="14.45"/>
  <cols>
    <col min="1" max="1" width="10.28515625" bestFit="1" customWidth="1"/>
    <col min="2" max="2" width="19" customWidth="1"/>
    <col min="3" max="3" width="17.85546875" customWidth="1"/>
    <col min="4" max="4" width="14.42578125" bestFit="1" customWidth="1"/>
    <col min="5" max="5" width="14.7109375" bestFit="1" customWidth="1"/>
    <col min="6" max="6" width="14.28515625" bestFit="1" customWidth="1"/>
    <col min="7" max="15" width="11" bestFit="1" customWidth="1"/>
    <col min="16" max="26" width="12" bestFit="1" customWidth="1"/>
    <col min="27" max="35" width="12.28515625" bestFit="1" customWidth="1"/>
    <col min="36" max="46" width="13.42578125" bestFit="1" customWidth="1"/>
    <col min="47" max="86" width="15.7109375"/>
    <col min="87" max="95" width="13.7109375" bestFit="1" customWidth="1"/>
    <col min="96" max="96" width="14.7109375" bestFit="1" customWidth="1"/>
    <col min="97" max="97" width="20.7109375" bestFit="1" customWidth="1"/>
    <col min="98" max="100" width="15" bestFit="1" customWidth="1"/>
    <col min="101" max="101" width="17.28515625" bestFit="1" customWidth="1"/>
    <col min="102" max="102" width="16.42578125" bestFit="1" customWidth="1"/>
    <col min="103" max="103" width="16.5703125" bestFit="1" customWidth="1"/>
    <col min="104" max="105" width="15" bestFit="1" customWidth="1"/>
    <col min="106" max="106" width="16" bestFit="1" customWidth="1"/>
    <col min="107" max="108" width="14.7109375" bestFit="1" customWidth="1"/>
    <col min="109" max="115" width="10.42578125" bestFit="1" customWidth="1"/>
    <col min="116" max="116" width="11.42578125" bestFit="1" customWidth="1"/>
    <col min="117" max="117" width="11.28515625" bestFit="1" customWidth="1"/>
    <col min="118" max="119" width="15" bestFit="1" customWidth="1"/>
    <col min="120" max="125" width="11.28515625" bestFit="1" customWidth="1"/>
    <col min="126" max="126" width="12.28515625" bestFit="1" customWidth="1"/>
    <col min="136" max="136" width="10.28515625" bestFit="1" customWidth="1"/>
    <col min="137" max="145" width="10" bestFit="1" customWidth="1"/>
    <col min="146" max="146" width="11" bestFit="1" customWidth="1"/>
    <col min="147" max="147" width="22" bestFit="1" customWidth="1"/>
    <col min="148" max="148" width="20.5703125" bestFit="1" customWidth="1"/>
    <col min="149" max="149" width="14" bestFit="1" customWidth="1"/>
    <col min="150" max="150" width="12.28515625" bestFit="1" customWidth="1"/>
    <col min="151" max="151" width="12.7109375" bestFit="1" customWidth="1"/>
    <col min="152" max="156" width="14.28515625" bestFit="1" customWidth="1"/>
    <col min="157" max="161" width="15.42578125" bestFit="1" customWidth="1"/>
    <col min="162" max="166" width="14.28515625" bestFit="1" customWidth="1"/>
    <col min="167" max="170" width="14.28515625" customWidth="1"/>
    <col min="171" max="171" width="15.28515625" bestFit="1" customWidth="1"/>
    <col min="172" max="176" width="15.5703125" bestFit="1" customWidth="1"/>
    <col min="177" max="180" width="15.42578125" bestFit="1" customWidth="1"/>
    <col min="181" max="181" width="16.42578125" bestFit="1" customWidth="1"/>
    <col min="182" max="191" width="13.7109375" bestFit="1" customWidth="1"/>
    <col min="192" max="201" width="14.85546875" bestFit="1" customWidth="1"/>
  </cols>
  <sheetData>
    <row r="1" spans="1:20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168</v>
      </c>
      <c r="AO1" t="s">
        <v>169</v>
      </c>
      <c r="AP1" t="s">
        <v>170</v>
      </c>
      <c r="AQ1" t="s">
        <v>171</v>
      </c>
      <c r="AR1" t="s">
        <v>172</v>
      </c>
      <c r="AS1" t="s">
        <v>173</v>
      </c>
      <c r="AT1" t="s">
        <v>174</v>
      </c>
      <c r="AU1" t="s">
        <v>175</v>
      </c>
      <c r="AV1" t="s">
        <v>176</v>
      </c>
      <c r="AW1" t="s">
        <v>177</v>
      </c>
      <c r="AX1" t="s">
        <v>178</v>
      </c>
      <c r="AY1" t="s">
        <v>179</v>
      </c>
      <c r="AZ1" t="s">
        <v>180</v>
      </c>
      <c r="BA1" t="s">
        <v>181</v>
      </c>
      <c r="BB1" t="s">
        <v>182</v>
      </c>
      <c r="BC1" t="s">
        <v>183</v>
      </c>
      <c r="BD1" t="s">
        <v>184</v>
      </c>
      <c r="BE1" t="s">
        <v>185</v>
      </c>
      <c r="BF1" t="s">
        <v>186</v>
      </c>
      <c r="BG1" t="s">
        <v>187</v>
      </c>
      <c r="BH1" t="s">
        <v>188</v>
      </c>
      <c r="BI1" t="s">
        <v>189</v>
      </c>
      <c r="BJ1" t="s">
        <v>190</v>
      </c>
      <c r="BK1" t="s">
        <v>191</v>
      </c>
      <c r="BL1" t="s">
        <v>192</v>
      </c>
      <c r="BM1" t="s">
        <v>193</v>
      </c>
      <c r="BN1" t="s">
        <v>194</v>
      </c>
      <c r="BO1" t="s">
        <v>195</v>
      </c>
      <c r="BP1" t="s">
        <v>196</v>
      </c>
      <c r="BQ1" t="s">
        <v>197</v>
      </c>
      <c r="BR1" t="s">
        <v>198</v>
      </c>
      <c r="BS1" t="s">
        <v>199</v>
      </c>
      <c r="BT1" t="s">
        <v>200</v>
      </c>
      <c r="BU1" t="s">
        <v>201</v>
      </c>
      <c r="BV1" t="s">
        <v>202</v>
      </c>
      <c r="BW1" t="s">
        <v>203</v>
      </c>
      <c r="BX1" t="s">
        <v>204</v>
      </c>
      <c r="BY1" t="s">
        <v>205</v>
      </c>
      <c r="BZ1" t="s">
        <v>206</v>
      </c>
      <c r="CA1" t="s">
        <v>207</v>
      </c>
      <c r="CB1" t="s">
        <v>208</v>
      </c>
      <c r="CC1" t="s">
        <v>209</v>
      </c>
      <c r="CD1" t="s">
        <v>210</v>
      </c>
      <c r="CE1" t="s">
        <v>211</v>
      </c>
      <c r="CF1" t="s">
        <v>212</v>
      </c>
      <c r="CG1" t="s">
        <v>213</v>
      </c>
      <c r="CH1" t="s">
        <v>214</v>
      </c>
      <c r="CI1" t="s">
        <v>215</v>
      </c>
      <c r="CJ1" t="s">
        <v>216</v>
      </c>
      <c r="CK1" t="s">
        <v>217</v>
      </c>
      <c r="CL1" t="s">
        <v>218</v>
      </c>
      <c r="CM1" t="s">
        <v>219</v>
      </c>
      <c r="CN1" t="s">
        <v>220</v>
      </c>
      <c r="CO1" t="s">
        <v>221</v>
      </c>
      <c r="CP1" t="s">
        <v>222</v>
      </c>
      <c r="CQ1" t="s">
        <v>223</v>
      </c>
      <c r="CR1" t="s">
        <v>224</v>
      </c>
      <c r="CS1" t="s">
        <v>225</v>
      </c>
      <c r="CT1" t="s">
        <v>226</v>
      </c>
      <c r="CU1" t="s">
        <v>227</v>
      </c>
      <c r="CV1" t="s">
        <v>228</v>
      </c>
      <c r="CW1" t="s">
        <v>229</v>
      </c>
      <c r="CX1" t="s">
        <v>230</v>
      </c>
      <c r="CY1" t="s">
        <v>231</v>
      </c>
      <c r="CZ1" t="s">
        <v>232</v>
      </c>
      <c r="DA1" t="s">
        <v>233</v>
      </c>
      <c r="DB1" t="s">
        <v>234</v>
      </c>
      <c r="DC1" t="s">
        <v>235</v>
      </c>
      <c r="DD1" t="s">
        <v>236</v>
      </c>
      <c r="DE1" t="s">
        <v>237</v>
      </c>
      <c r="DF1" t="s">
        <v>238</v>
      </c>
      <c r="DG1" t="s">
        <v>239</v>
      </c>
      <c r="DH1" t="s">
        <v>240</v>
      </c>
      <c r="DI1" t="s">
        <v>241</v>
      </c>
      <c r="DJ1" t="s">
        <v>242</v>
      </c>
      <c r="DK1" t="s">
        <v>243</v>
      </c>
      <c r="DL1" t="s">
        <v>244</v>
      </c>
      <c r="DM1" t="s">
        <v>245</v>
      </c>
      <c r="DN1" t="s">
        <v>246</v>
      </c>
      <c r="DO1" t="s">
        <v>247</v>
      </c>
      <c r="DP1" t="s">
        <v>248</v>
      </c>
      <c r="DQ1" t="s">
        <v>249</v>
      </c>
      <c r="DR1" t="s">
        <v>250</v>
      </c>
      <c r="DS1" t="s">
        <v>251</v>
      </c>
      <c r="DT1" t="s">
        <v>252</v>
      </c>
      <c r="DU1" t="s">
        <v>253</v>
      </c>
      <c r="DV1" t="s">
        <v>254</v>
      </c>
      <c r="DW1" t="s">
        <v>255</v>
      </c>
      <c r="DX1" t="s">
        <v>256</v>
      </c>
      <c r="DY1" t="s">
        <v>257</v>
      </c>
      <c r="DZ1" t="s">
        <v>258</v>
      </c>
      <c r="EA1" t="s">
        <v>259</v>
      </c>
      <c r="EB1" t="s">
        <v>260</v>
      </c>
      <c r="EC1" t="s">
        <v>261</v>
      </c>
      <c r="ED1" t="s">
        <v>262</v>
      </c>
      <c r="EE1" t="s">
        <v>263</v>
      </c>
      <c r="EF1" t="s">
        <v>264</v>
      </c>
      <c r="EG1" t="s">
        <v>265</v>
      </c>
      <c r="EH1" t="s">
        <v>266</v>
      </c>
      <c r="EI1" t="s">
        <v>267</v>
      </c>
      <c r="EJ1" t="s">
        <v>268</v>
      </c>
      <c r="EK1" t="s">
        <v>269</v>
      </c>
      <c r="EL1" t="s">
        <v>270</v>
      </c>
      <c r="EM1" t="s">
        <v>271</v>
      </c>
      <c r="EN1" t="s">
        <v>272</v>
      </c>
      <c r="EO1" t="s">
        <v>273</v>
      </c>
      <c r="EP1" t="s">
        <v>274</v>
      </c>
      <c r="EQ1" t="s">
        <v>275</v>
      </c>
      <c r="ER1" t="s">
        <v>276</v>
      </c>
      <c r="ES1" t="s">
        <v>277</v>
      </c>
      <c r="ET1" t="s">
        <v>278</v>
      </c>
      <c r="EU1" t="s">
        <v>279</v>
      </c>
      <c r="EV1" t="s">
        <v>280</v>
      </c>
      <c r="EW1" t="s">
        <v>281</v>
      </c>
      <c r="EX1" t="s">
        <v>282</v>
      </c>
      <c r="EY1" t="s">
        <v>283</v>
      </c>
      <c r="EZ1" t="s">
        <v>284</v>
      </c>
      <c r="FA1" t="s">
        <v>285</v>
      </c>
      <c r="FB1" t="s">
        <v>286</v>
      </c>
      <c r="FC1" t="s">
        <v>287</v>
      </c>
      <c r="FD1" t="s">
        <v>288</v>
      </c>
      <c r="FE1" t="s">
        <v>289</v>
      </c>
      <c r="FF1" t="s">
        <v>290</v>
      </c>
      <c r="FG1" t="s">
        <v>291</v>
      </c>
      <c r="FH1" t="s">
        <v>292</v>
      </c>
      <c r="FI1" t="s">
        <v>293</v>
      </c>
      <c r="FJ1" t="s">
        <v>294</v>
      </c>
      <c r="FK1" t="s">
        <v>295</v>
      </c>
      <c r="FL1" t="s">
        <v>296</v>
      </c>
      <c r="FM1" t="s">
        <v>297</v>
      </c>
      <c r="FN1" t="s">
        <v>298</v>
      </c>
      <c r="FO1" t="s">
        <v>299</v>
      </c>
      <c r="FP1" t="s">
        <v>300</v>
      </c>
      <c r="FQ1" t="s">
        <v>301</v>
      </c>
      <c r="FR1" t="s">
        <v>302</v>
      </c>
      <c r="FS1" t="s">
        <v>303</v>
      </c>
      <c r="FT1" t="s">
        <v>304</v>
      </c>
      <c r="FU1" t="s">
        <v>305</v>
      </c>
      <c r="FV1" t="s">
        <v>306</v>
      </c>
      <c r="FW1" t="s">
        <v>307</v>
      </c>
      <c r="FX1" t="s">
        <v>308</v>
      </c>
      <c r="FY1" t="s">
        <v>309</v>
      </c>
      <c r="FZ1" s="53" t="s">
        <v>310</v>
      </c>
      <c r="GA1" s="53" t="s">
        <v>311</v>
      </c>
      <c r="GB1" s="53" t="s">
        <v>312</v>
      </c>
      <c r="GC1" s="53" t="s">
        <v>313</v>
      </c>
      <c r="GD1" s="53" t="s">
        <v>314</v>
      </c>
      <c r="GE1" s="53" t="s">
        <v>315</v>
      </c>
      <c r="GF1" s="53" t="s">
        <v>316</v>
      </c>
      <c r="GG1" s="53" t="s">
        <v>317</v>
      </c>
      <c r="GH1" s="53" t="s">
        <v>318</v>
      </c>
      <c r="GI1" s="53" t="s">
        <v>319</v>
      </c>
      <c r="GJ1" s="53" t="s">
        <v>320</v>
      </c>
      <c r="GK1" s="53" t="s">
        <v>321</v>
      </c>
      <c r="GL1" s="53" t="s">
        <v>322</v>
      </c>
      <c r="GM1" s="53" t="s">
        <v>323</v>
      </c>
      <c r="GN1" s="53" t="s">
        <v>324</v>
      </c>
      <c r="GO1" s="53" t="s">
        <v>325</v>
      </c>
      <c r="GP1" s="53" t="s">
        <v>326</v>
      </c>
      <c r="GQ1" s="53" t="s">
        <v>327</v>
      </c>
      <c r="GR1" s="53" t="s">
        <v>328</v>
      </c>
      <c r="GS1" s="53" t="s">
        <v>329</v>
      </c>
    </row>
    <row r="2" spans="1:201">
      <c r="A2">
        <f>(ตั้งค่าสัดส่วนคะแนน!A3+ตั้งค่าสัดส่วนคะแนน!C3)</f>
        <v>0</v>
      </c>
      <c r="B2">
        <f>ตั้งค่าสัดส่วนคะแนน!A3</f>
        <v>0</v>
      </c>
      <c r="C2">
        <f>ตั้งค่าสัดส่วนคะแนน!C3</f>
        <v>0</v>
      </c>
      <c r="D2">
        <f>ตั้งค่าสัดส่วนคะแนน!B3</f>
        <v>0</v>
      </c>
      <c r="E2">
        <f>ตั้งค่าสัดส่วนคะแนน!D3</f>
        <v>0</v>
      </c>
      <c r="F2">
        <f>ตั้งค่าสัดส่วนคะแนน!E3</f>
        <v>0</v>
      </c>
      <c r="G2" s="5">
        <f>IF(คะแนนเก็บ!D4=0,"",คะแนนเก็บ!D4)</f>
        <v>10</v>
      </c>
      <c r="H2" s="5" t="str">
        <f>IF(คะแนนเก็บ!E4=0,"",คะแนนเก็บ!E4)</f>
        <v/>
      </c>
      <c r="I2" s="5" t="str">
        <f>IF(คะแนนเก็บ!F4=0,"",คะแนนเก็บ!F4)</f>
        <v/>
      </c>
      <c r="J2" s="5" t="str">
        <f>IF(คะแนนเก็บ!G4=0,"",คะแนนเก็บ!G4)</f>
        <v/>
      </c>
      <c r="K2" s="5" t="str">
        <f>IF(คะแนนเก็บ!H4=0,"",คะแนนเก็บ!H4)</f>
        <v/>
      </c>
      <c r="L2" s="5" t="str">
        <f>IF(คะแนนเก็บ!I4=0,"",คะแนนเก็บ!I4)</f>
        <v/>
      </c>
      <c r="M2" s="5" t="str">
        <f>IF(คะแนนเก็บ!J4=0,"",คะแนนเก็บ!J4)</f>
        <v/>
      </c>
      <c r="N2" s="5" t="str">
        <f>IF(คะแนนเก็บ!K4=0,"",คะแนนเก็บ!K4)</f>
        <v/>
      </c>
      <c r="O2" s="5" t="str">
        <f>IF(คะแนนเก็บ!L4=0,"",คะแนนเก็บ!L4)</f>
        <v/>
      </c>
      <c r="P2" s="5" t="str">
        <f>IF(คะแนนเก็บ!M4=0,"",คะแนนเก็บ!M4)</f>
        <v/>
      </c>
      <c r="Q2" s="5" t="str">
        <f>IF(คะแนนเก็บ!N4=0,"",คะแนนเก็บ!N4)</f>
        <v/>
      </c>
      <c r="R2" s="5" t="str">
        <f>IF(คะแนนเก็บ!O4=0,"",คะแนนเก็บ!O4)</f>
        <v/>
      </c>
      <c r="S2" s="5" t="str">
        <f>IF(คะแนนเก็บ!P4=0,"",คะแนนเก็บ!P4)</f>
        <v/>
      </c>
      <c r="T2" s="5" t="str">
        <f>IF(คะแนนเก็บ!Q4=0,"",คะแนนเก็บ!Q4)</f>
        <v/>
      </c>
      <c r="U2" s="5" t="str">
        <f>IF(คะแนนเก็บ!R4=0,"",คะแนนเก็บ!R4)</f>
        <v/>
      </c>
      <c r="V2" s="5" t="str">
        <f>IF(คะแนนเก็บ!S4=0,"",คะแนนเก็บ!S4)</f>
        <v/>
      </c>
      <c r="W2" s="5" t="str">
        <f>IF(คะแนนเก็บ!T4=0,"",คะแนนเก็บ!T4)</f>
        <v/>
      </c>
      <c r="X2" s="5" t="str">
        <f>IF(คะแนนเก็บ!U4=0,"",คะแนนเก็บ!U4)</f>
        <v/>
      </c>
      <c r="Y2" s="5" t="str">
        <f>IF(คะแนนเก็บ!V4=0,"",คะแนนเก็บ!V4)</f>
        <v/>
      </c>
      <c r="Z2" s="5" t="str">
        <f>IF(คะแนนเก็บ!W4=0,"",คะแนนเก็บ!W4)</f>
        <v/>
      </c>
      <c r="AA2" t="str">
        <f>IF(คะแนนเก็บ!D3=0,"",คะแนนเก็บ!D3)</f>
        <v>ตัวอย่าง</v>
      </c>
      <c r="AB2" t="str">
        <f>IF(คะแนนเก็บ!E3=0,"",คะแนนเก็บ!E3)</f>
        <v>2</v>
      </c>
      <c r="AC2">
        <f>IF(คะแนนเก็บ!F3=0,"",คะแนนเก็บ!F3)</f>
        <v>3</v>
      </c>
      <c r="AD2">
        <f>IF(คะแนนเก็บ!G3=0,"",คะแนนเก็บ!G3)</f>
        <v>4</v>
      </c>
      <c r="AE2">
        <f>IF(คะแนนเก็บ!H3=0,"",คะแนนเก็บ!H3)</f>
        <v>5</v>
      </c>
      <c r="AF2">
        <f>IF(คะแนนเก็บ!I3=0,"",คะแนนเก็บ!I3)</f>
        <v>6</v>
      </c>
      <c r="AG2">
        <f>IF(คะแนนเก็บ!J3=0,"",คะแนนเก็บ!J3)</f>
        <v>7</v>
      </c>
      <c r="AH2">
        <f>IF(คะแนนเก็บ!K3=0,"",คะแนนเก็บ!K3)</f>
        <v>8</v>
      </c>
      <c r="AI2" t="str">
        <f>IF(คะแนนเก็บ!L3=0,"",คะแนนเก็บ!L3)</f>
        <v>9</v>
      </c>
      <c r="AJ2">
        <f>IF(คะแนนเก็บ!M3=0,"",คะแนนเก็บ!M3)</f>
        <v>10</v>
      </c>
      <c r="AK2" t="str">
        <f>IF(คะแนนเก็บ!N3=0,"",คะแนนเก็บ!N3)</f>
        <v>11</v>
      </c>
      <c r="AL2">
        <f>IF(คะแนนเก็บ!O3=0,"",คะแนนเก็บ!O3)</f>
        <v>12</v>
      </c>
      <c r="AM2">
        <f>IF(คะแนนเก็บ!P3=0,"",คะแนนเก็บ!P3)</f>
        <v>13</v>
      </c>
      <c r="AN2">
        <f>IF(คะแนนเก็บ!Q3=0,"",คะแนนเก็บ!Q3)</f>
        <v>14</v>
      </c>
      <c r="AO2">
        <f>IF(คะแนนเก็บ!R3=0,"",คะแนนเก็บ!R3)</f>
        <v>15</v>
      </c>
      <c r="AP2" t="str">
        <f>IF(คะแนนเก็บ!S3=0,"",คะแนนเก็บ!S3)</f>
        <v>16</v>
      </c>
      <c r="AQ2">
        <f>IF(คะแนนเก็บ!T3=0,"",คะแนนเก็บ!T3)</f>
        <v>17</v>
      </c>
      <c r="AR2">
        <f>IF(คะแนนเก็บ!U3=0,"",คะแนนเก็บ!U3)</f>
        <v>18</v>
      </c>
      <c r="AS2">
        <f>IF(คะแนนเก็บ!V3=0,"",คะแนนเก็บ!V3)</f>
        <v>19</v>
      </c>
      <c r="AT2">
        <f>IF(คะแนนเก็บ!W3=0,"",คะแนนเก็บ!W3)</f>
        <v>20</v>
      </c>
      <c r="AU2" t="str">
        <f>IF(คะแนนเก็บหลังกลางภาค!D4=0,"",คะแนนเก็บหลังกลางภาค!D4)</f>
        <v/>
      </c>
      <c r="AV2" t="str">
        <f>IF(คะแนนเก็บหลังกลางภาค!E4=0,"",คะแนนเก็บหลังกลางภาค!E4)</f>
        <v/>
      </c>
      <c r="AW2" t="str">
        <f>IF(คะแนนเก็บหลังกลางภาค!F4=0,"",คะแนนเก็บหลังกลางภาค!F4)</f>
        <v/>
      </c>
      <c r="AX2" t="str">
        <f>IF(คะแนนเก็บหลังกลางภาค!G4=0,"",คะแนนเก็บหลังกลางภาค!G4)</f>
        <v/>
      </c>
      <c r="AY2" t="str">
        <f>IF(คะแนนเก็บหลังกลางภาค!H4=0,"",คะแนนเก็บหลังกลางภาค!H4)</f>
        <v/>
      </c>
      <c r="AZ2" t="str">
        <f>IF(คะแนนเก็บหลังกลางภาค!I4=0,"",คะแนนเก็บหลังกลางภาค!I4)</f>
        <v/>
      </c>
      <c r="BA2" t="str">
        <f>IF(คะแนนเก็บหลังกลางภาค!J4=0,"",คะแนนเก็บหลังกลางภาค!J4)</f>
        <v/>
      </c>
      <c r="BB2" t="str">
        <f>IF(คะแนนเก็บหลังกลางภาค!K4=0,"",คะแนนเก็บหลังกลางภาค!K4)</f>
        <v/>
      </c>
      <c r="BC2" t="str">
        <f>IF(คะแนนเก็บหลังกลางภาค!L4=0,"",คะแนนเก็บหลังกลางภาค!L4)</f>
        <v/>
      </c>
      <c r="BD2" t="str">
        <f>IF(คะแนนเก็บหลังกลางภาค!M4=0,"",คะแนนเก็บหลังกลางภาค!M4)</f>
        <v/>
      </c>
      <c r="BE2" t="str">
        <f>IF(คะแนนเก็บหลังกลางภาค!N4=0,"",คะแนนเก็บหลังกลางภาค!N4)</f>
        <v/>
      </c>
      <c r="BF2" t="str">
        <f>IF(คะแนนเก็บหลังกลางภาค!O4=0,"",คะแนนเก็บหลังกลางภาค!O4)</f>
        <v/>
      </c>
      <c r="BG2" t="str">
        <f>IF(คะแนนเก็บหลังกลางภาค!P4=0,"",คะแนนเก็บหลังกลางภาค!P4)</f>
        <v/>
      </c>
      <c r="BH2" t="str">
        <f>IF(คะแนนเก็บหลังกลางภาค!Q4=0,"",คะแนนเก็บหลังกลางภาค!Q4)</f>
        <v/>
      </c>
      <c r="BI2" t="str">
        <f>IF(คะแนนเก็บหลังกลางภาค!R4=0,"",คะแนนเก็บหลังกลางภาค!R4)</f>
        <v/>
      </c>
      <c r="BJ2" t="str">
        <f>IF(คะแนนเก็บหลังกลางภาค!S4=0,"",คะแนนเก็บหลังกลางภาค!S4)</f>
        <v/>
      </c>
      <c r="BK2" t="str">
        <f>IF(คะแนนเก็บหลังกลางภาค!T4=0,"",คะแนนเก็บหลังกลางภาค!T4)</f>
        <v/>
      </c>
      <c r="BL2" t="str">
        <f>IF(คะแนนเก็บหลังกลางภาค!U4=0,"",คะแนนเก็บหลังกลางภาค!U4)</f>
        <v/>
      </c>
      <c r="BM2" t="str">
        <f>IF(คะแนนเก็บหลังกลางภาค!V4=0,"",คะแนนเก็บหลังกลางภาค!V4)</f>
        <v/>
      </c>
      <c r="BN2" t="str">
        <f>IF(คะแนนเก็บหลังกลางภาค!W4=0,"",คะแนนเก็บหลังกลางภาค!W4)</f>
        <v/>
      </c>
      <c r="BO2" t="str">
        <f>IF(คะแนนเก็บหลังกลางภาค!D3=0,"",คะแนนเก็บหลังกลางภาค!D3)</f>
        <v>1</v>
      </c>
      <c r="BP2" t="str">
        <f>IF(คะแนนเก็บหลังกลางภาค!E3=0,"",คะแนนเก็บหลังกลางภาค!E3)</f>
        <v>2</v>
      </c>
      <c r="BQ2" t="str">
        <f>IF(คะแนนเก็บหลังกลางภาค!F3=0,"",คะแนนเก็บหลังกลางภาค!F3)</f>
        <v>3</v>
      </c>
      <c r="BR2" t="str">
        <f>IF(คะแนนเก็บหลังกลางภาค!G3=0,"",คะแนนเก็บหลังกลางภาค!G3)</f>
        <v>4</v>
      </c>
      <c r="BS2" t="str">
        <f>IF(คะแนนเก็บหลังกลางภาค!H3=0,"",คะแนนเก็บหลังกลางภาค!H3)</f>
        <v>5</v>
      </c>
      <c r="BT2" t="str">
        <f>IF(คะแนนเก็บหลังกลางภาค!I3=0,"",คะแนนเก็บหลังกลางภาค!I3)</f>
        <v>6</v>
      </c>
      <c r="BU2" t="str">
        <f>IF(คะแนนเก็บหลังกลางภาค!J3=0,"",คะแนนเก็บหลังกลางภาค!J3)</f>
        <v>7</v>
      </c>
      <c r="BV2" t="str">
        <f>IF(คะแนนเก็บหลังกลางภาค!K3=0,"",คะแนนเก็บหลังกลางภาค!K3)</f>
        <v>8</v>
      </c>
      <c r="BW2" t="str">
        <f>IF(คะแนนเก็บหลังกลางภาค!L3=0,"",คะแนนเก็บหลังกลางภาค!L3)</f>
        <v>9</v>
      </c>
      <c r="BX2" t="str">
        <f>IF(คะแนนเก็บหลังกลางภาค!M3=0,"",คะแนนเก็บหลังกลางภาค!M3)</f>
        <v>10</v>
      </c>
      <c r="BY2" t="str">
        <f>IF(คะแนนเก็บหลังกลางภาค!N3=0,"",คะแนนเก็บหลังกลางภาค!N3)</f>
        <v>11</v>
      </c>
      <c r="BZ2" t="str">
        <f>IF(คะแนนเก็บหลังกลางภาค!O3=0,"",คะแนนเก็บหลังกลางภาค!O3)</f>
        <v>12</v>
      </c>
      <c r="CA2" t="str">
        <f>IF(คะแนนเก็บหลังกลางภาค!P3=0,"",คะแนนเก็บหลังกลางภาค!P3)</f>
        <v>13</v>
      </c>
      <c r="CB2" t="str">
        <f>IF(คะแนนเก็บหลังกลางภาค!Q3=0,"",คะแนนเก็บหลังกลางภาค!Q3)</f>
        <v>14</v>
      </c>
      <c r="CC2" t="str">
        <f>IF(คะแนนเก็บหลังกลางภาค!R3=0,"",คะแนนเก็บหลังกลางภาค!R3)</f>
        <v>15</v>
      </c>
      <c r="CD2" t="str">
        <f>IF(คะแนนเก็บหลังกลางภาค!S3=0,"",คะแนนเก็บหลังกลางภาค!S3)</f>
        <v>16</v>
      </c>
      <c r="CE2" t="str">
        <f>IF(คะแนนเก็บหลังกลางภาค!T3=0,"",คะแนนเก็บหลังกลางภาค!T3)</f>
        <v>17</v>
      </c>
      <c r="CF2" t="str">
        <f>IF(คะแนนเก็บหลังกลางภาค!U3=0,"",คะแนนเก็บหลังกลางภาค!U3)</f>
        <v>18</v>
      </c>
      <c r="CG2" t="str">
        <f>IF(คะแนนเก็บหลังกลางภาค!V3=0,"",คะแนนเก็บหลังกลางภาค!V3)</f>
        <v>19</v>
      </c>
      <c r="CH2" t="str">
        <f>IF(คะแนนเก็บหลังกลางภาค!W3=0,"",คะแนนเก็บหลังกลางภาค!W3)</f>
        <v>20</v>
      </c>
      <c r="CI2">
        <f>IF(คุณลักษณะอันพึงประสงค์!D4=0,"",คุณลักษณะอันพึงประสงค์!D4)</f>
        <v>3</v>
      </c>
      <c r="CJ2">
        <f>IF(คุณลักษณะอันพึงประสงค์!E4=0,"",คุณลักษณะอันพึงประสงค์!E4)</f>
        <v>3</v>
      </c>
      <c r="CK2">
        <f>IF(คุณลักษณะอันพึงประสงค์!F4=0,"",คุณลักษณะอันพึงประสงค์!F4)</f>
        <v>3</v>
      </c>
      <c r="CL2">
        <f>IF(คุณลักษณะอันพึงประสงค์!G4=0,"",คุณลักษณะอันพึงประสงค์!G4)</f>
        <v>3</v>
      </c>
      <c r="CM2">
        <f>IF(คุณลักษณะอันพึงประสงค์!H4=0,"",คุณลักษณะอันพึงประสงค์!H4)</f>
        <v>3</v>
      </c>
      <c r="CN2">
        <f>IF(คุณลักษณะอันพึงประสงค์!I4=0,"",คุณลักษณะอันพึงประสงค์!I4)</f>
        <v>3</v>
      </c>
      <c r="CO2">
        <f>IF(คุณลักษณะอันพึงประสงค์!J4=0,"",คุณลักษณะอันพึงประสงค์!J4)</f>
        <v>3</v>
      </c>
      <c r="CP2">
        <f>IF(คุณลักษณะอันพึงประสงค์!K4=0,"",คุณลักษณะอันพึงประสงค์!K4)</f>
        <v>3</v>
      </c>
      <c r="CQ2" t="str">
        <f>IF(คุณลักษณะอันพึงประสงค์!L4=0,"",คุณลักษณะอันพึงประสงค์!L4)</f>
        <v/>
      </c>
      <c r="CR2" t="str">
        <f>IF(คุณลักษณะอันพึงประสงค์!M4=0,"",คุณลักษณะอันพึงประสงค์!M4)</f>
        <v/>
      </c>
      <c r="CS2" t="str">
        <f>IF(คุณลักษณะอันพึงประสงค์!D3=0,"",คุณลักษณะอันพึงประสงค์!D3)</f>
        <v>1 รักชาติ ศาสน์ กษัตริย์</v>
      </c>
      <c r="CT2" t="str">
        <f>IF(คุณลักษณะอันพึงประสงค์!E3=0,"",คุณลักษณะอันพึงประสงค์!E3)</f>
        <v>2 ซื่อสัตย์สุจริต</v>
      </c>
      <c r="CU2" t="str">
        <f>IF(คุณลักษณะอันพึงประสงค์!F3=0,"",คุณลักษณะอันพึงประสงค์!F3)</f>
        <v>3 มีวินัย</v>
      </c>
      <c r="CV2" t="str">
        <f>IF(คุณลักษณะอันพึงประสงค์!G3=0,"",คุณลักษณะอันพึงประสงค์!G3)</f>
        <v>4 ใฝ่เรียนรู้</v>
      </c>
      <c r="CW2" t="str">
        <f>IF(คุณลักษณะอันพึงประสงค์!H3=0,"",คุณลักษณะอันพึงประสงค์!H3)</f>
        <v>5 อยู่อย่างพอเพียง</v>
      </c>
      <c r="CX2" t="str">
        <f>IF(คุณลักษณะอันพึงประสงค์!I3=0,"",คุณลักษณะอันพึงประสงค์!I3)</f>
        <v>6 มุ่งมั่นในการทำงาน</v>
      </c>
      <c r="CY2" t="str">
        <f>IF(คุณลักษณะอันพึงประสงค์!J3=0,"",คุณลักษณะอันพึงประสงค์!J3)</f>
        <v>7 รักความเป็นไทย</v>
      </c>
      <c r="CZ2" t="str">
        <f>IF(คุณลักษณะอันพึงประสงค์!K3=0,"",คุณลักษณะอันพึงประสงค์!K3)</f>
        <v>8 มีจิตสาธารณะ</v>
      </c>
      <c r="DA2">
        <f>IF(คุณลักษณะอันพึงประสงค์!L3=0,"",คุณลักษณะอันพึงประสงค์!L3)</f>
        <v>9</v>
      </c>
      <c r="DB2">
        <f>IF(คุณลักษณะอันพึงประสงค์!M3=0,"",คุณลักษณะอันพึงประสงค์!M3)</f>
        <v>10</v>
      </c>
      <c r="DC2" t="str">
        <f>IF(กลางภาค!D3=0,"",กลางภาค!D3)</f>
        <v>1</v>
      </c>
      <c r="DD2" t="str">
        <f>IF(กลางภาค!E3=0,"",กลางภาค!E3)</f>
        <v>2</v>
      </c>
      <c r="DE2" t="str">
        <f>IF(กลางภาค!F3=0,"",กลางภาค!F3)</f>
        <v>3</v>
      </c>
      <c r="DF2">
        <f>IF(กลางภาค!G3=0,"",กลางภาค!G3)</f>
        <v>4</v>
      </c>
      <c r="DG2" t="str">
        <f>IF(กลางภาค!H3=0,"",กลางภาค!H3)</f>
        <v>5</v>
      </c>
      <c r="DH2">
        <f>IF(กลางภาค!I3=0,"",กลางภาค!I3)</f>
        <v>6</v>
      </c>
      <c r="DI2">
        <f>IF(กลางภาค!J3=0,"",กลางภาค!J3)</f>
        <v>7</v>
      </c>
      <c r="DJ2">
        <f>IF(กลางภาค!K3=0,"",กลางภาค!K3)</f>
        <v>8</v>
      </c>
      <c r="DK2">
        <f>IF(กลางภาค!L3=0,"",กลางภาค!L3)</f>
        <v>9</v>
      </c>
      <c r="DL2">
        <f>IF(กลางภาค!M3=0,"",กลางภาค!M3)</f>
        <v>10</v>
      </c>
      <c r="DM2" t="str">
        <f>IF(ปลายภาค!D3=0,"",ปลายภาค!D3)</f>
        <v>1</v>
      </c>
      <c r="DN2" t="str">
        <f>IF(ปลายภาค!E3=0,"",ปลายภาค!E3)</f>
        <v>2</v>
      </c>
      <c r="DO2" t="str">
        <f>IF(ปลายภาค!F3=0,"",ปลายภาค!F3)</f>
        <v>3</v>
      </c>
      <c r="DP2">
        <f>IF(ปลายภาค!G3=0,"",ปลายภาค!G3)</f>
        <v>4</v>
      </c>
      <c r="DQ2">
        <f>IF(ปลายภาค!H3=0,"",ปลายภาค!H3)</f>
        <v>5</v>
      </c>
      <c r="DR2">
        <f>IF(ปลายภาค!I3=0,"",ปลายภาค!I3)</f>
        <v>6</v>
      </c>
      <c r="DS2">
        <f>IF(ปลายภาค!J3=0,"",ปลายภาค!J3)</f>
        <v>7</v>
      </c>
      <c r="DT2">
        <f>IF(ปลายภาค!K3=0,"",ปลายภาค!K3)</f>
        <v>8</v>
      </c>
      <c r="DU2">
        <f>IF(ปลายภาค!L3=0,"",ปลายภาค!L3)</f>
        <v>9</v>
      </c>
      <c r="DV2">
        <f>IF(ปลายภาค!M3=0,"",ปลายภาค!M3)</f>
        <v>10</v>
      </c>
      <c r="DW2" s="5" t="str">
        <f>IF(กลางภาค!D4=0,"",กลางภาค!D4)</f>
        <v/>
      </c>
      <c r="DX2" s="5" t="str">
        <f>IF(กลางภาค!E4=0,"",กลางภาค!E4)</f>
        <v/>
      </c>
      <c r="DY2" s="5" t="str">
        <f>IF(กลางภาค!F4=0,"",กลางภาค!F4)</f>
        <v/>
      </c>
      <c r="DZ2" s="5" t="str">
        <f>IF(กลางภาค!G4=0,"",กลางภาค!G4)</f>
        <v/>
      </c>
      <c r="EA2" s="5" t="str">
        <f>IF(กลางภาค!H4=0,"",กลางภาค!H4)</f>
        <v/>
      </c>
      <c r="EB2" s="5" t="str">
        <f>IF(กลางภาค!I4=0,"",กลางภาค!I4)</f>
        <v/>
      </c>
      <c r="EC2" s="5" t="str">
        <f>IF(กลางภาค!J4=0,"",กลางภาค!J4)</f>
        <v/>
      </c>
      <c r="ED2" s="5" t="str">
        <f>IF(กลางภาค!K4=0,"",กลางภาค!K4)</f>
        <v/>
      </c>
      <c r="EE2" s="5" t="str">
        <f>IF(กลางภาค!L4=0,"",กลางภาค!L4)</f>
        <v/>
      </c>
      <c r="EF2" s="5" t="str">
        <f>IF(กลางภาค!M4=0,"",กลางภาค!M4)</f>
        <v/>
      </c>
      <c r="EG2" t="str">
        <f>IF(ปลายภาค!D4=0,"",ปลายภาค!D4)</f>
        <v/>
      </c>
      <c r="EH2" t="str">
        <f>IF(ปลายภาค!E4=0,"",ปลายภาค!E4)</f>
        <v/>
      </c>
      <c r="EI2" t="str">
        <f>IF(ปลายภาค!F4=0,"",ปลายภาค!F4)</f>
        <v/>
      </c>
      <c r="EJ2" t="str">
        <f>IF(ปลายภาค!G4=0,"",ปลายภาค!G4)</f>
        <v/>
      </c>
      <c r="EK2" t="str">
        <f>IF(ปลายภาค!H4=0,"",ปลายภาค!H4)</f>
        <v/>
      </c>
      <c r="EL2" t="str">
        <f>IF(ปลายภาค!I4=0,"",ปลายภาค!I4)</f>
        <v/>
      </c>
      <c r="EM2" t="str">
        <f>IF(ปลายภาค!J4=0,"",ปลายภาค!J4)</f>
        <v/>
      </c>
      <c r="EN2" t="str">
        <f>IF(ปลายภาค!K4=0,"",ปลายภาค!K4)</f>
        <v/>
      </c>
      <c r="EO2" t="str">
        <f>IF(ปลายภาค!L4=0,"",ปลายภาค!L4)</f>
        <v/>
      </c>
      <c r="EP2" t="str">
        <f>IF(ปลายภาค!M4=0,"",ปลายภาค!M4)</f>
        <v/>
      </c>
      <c r="EQ2">
        <f>IF(คะแนนเก็บ!X4=0,"",คะแนนเก็บ!X4)</f>
        <v>10</v>
      </c>
      <c r="ER2" t="str">
        <f>IF(คะแนนเก็บหลังกลางภาค!X4=0,"",คะแนนเก็บหลังกลางภาค!X4)</f>
        <v/>
      </c>
      <c r="ES2" s="5" t="e">
        <f>SUM(คะแนนเก็บ!X4+คะแนนเก็บหลังกลางภาค!X4)</f>
        <v>#VALUE!</v>
      </c>
      <c r="ET2" t="str">
        <f>IF(กลางภาค!N4=0,"",กลางภาค!N4)</f>
        <v/>
      </c>
      <c r="EU2" t="str">
        <f>IF(ปลายภาค!N4=0,"",ปลายภาค!N4)</f>
        <v/>
      </c>
      <c r="EV2">
        <f>IF(อ่านคิดวิเคราะห์!D4=0,"",อ่านคิดวิเคราะห์!D4)</f>
        <v>3</v>
      </c>
      <c r="EW2">
        <f>IF(อ่านคิดวิเคราะห์!E4=0,"",อ่านคิดวิเคราะห์!E4)</f>
        <v>3</v>
      </c>
      <c r="EX2">
        <f>IF(อ่านคิดวิเคราะห์!F4=0,"",อ่านคิดวิเคราะห์!F4)</f>
        <v>3</v>
      </c>
      <c r="EY2" t="str">
        <f>IF(อ่านคิดวิเคราะห์!G4=0,"",อ่านคิดวิเคราะห์!G4)</f>
        <v/>
      </c>
      <c r="EZ2" t="str">
        <f>IF(อ่านคิดวิเคราะห์!H4=0,"",อ่านคิดวิเคราะห์!H4)</f>
        <v/>
      </c>
      <c r="FA2" t="str">
        <f>IF(อ่านคิดวิเคราะห์!D3=0,"",อ่านคิดวิเคราะห์!D3)</f>
        <v>1 การอ่าน</v>
      </c>
      <c r="FB2" t="str">
        <f>IF(อ่านคิดวิเคราะห์!E3=0,"",อ่านคิดวิเคราะห์!E3)</f>
        <v>2 การคิดวิเคราะห์</v>
      </c>
      <c r="FC2" t="str">
        <f>IF(อ่านคิดวิเคราะห์!F3=0,"",อ่านคิดวิเคราะห์!F3)</f>
        <v>3 การเขียน</v>
      </c>
      <c r="FD2" t="str">
        <f>IF(อ่านคิดวิเคราะห์!G3=0,"",อ่านคิดวิเคราะห์!G3)</f>
        <v/>
      </c>
      <c r="FE2" t="str">
        <f>IF(อ่านคิดวิเคราะห์!H3=0,"",อ่านคิดวิเคราะห์!H3)</f>
        <v/>
      </c>
      <c r="FF2">
        <f>IF(สมรรถนะ!D4=0,"",สมรรถนะ!D4)</f>
        <v>3</v>
      </c>
      <c r="FG2">
        <f>IF(สมรรถนะ!E4=0,"",สมรรถนะ!E4)</f>
        <v>3</v>
      </c>
      <c r="FH2">
        <f>IF(สมรรถนะ!F4=0,"",สมรรถนะ!F4)</f>
        <v>3</v>
      </c>
      <c r="FI2">
        <f>IF(สมรรถนะ!G4=0,"",สมรรถนะ!G4)</f>
        <v>3</v>
      </c>
      <c r="FJ2">
        <f>IF(สมรรถนะ!H4=0,"",สมรรถนะ!H4)</f>
        <v>3</v>
      </c>
      <c r="FK2" t="str">
        <f>IF(สมรรถนะ!I4=0,"",สมรรถนะ!I4)</f>
        <v/>
      </c>
      <c r="FL2" t="str">
        <f>IF(สมรรถนะ!J4=0,"",สมรรถนะ!J4)</f>
        <v/>
      </c>
      <c r="FM2" t="str">
        <f>IF(สมรรถนะ!K4=0,"",สมรรถนะ!K4)</f>
        <v/>
      </c>
      <c r="FN2" t="str">
        <f>IF(สมรรถนะ!L4=0,"",สมรรถนะ!L4)</f>
        <v/>
      </c>
      <c r="FO2" t="str">
        <f>IF(สมรรถนะ!M4=0,"",สมรรถนะ!M4)</f>
        <v/>
      </c>
      <c r="FP2" t="str">
        <f>IF(สมรรถนะ!D3=0,"",สมรรถนะ!D3)</f>
        <v>1 หัวข้อตามที่ตั้งค่าในระบบ</v>
      </c>
      <c r="FQ2" t="str">
        <f>IF(สมรรถนะ!E3=0,"",สมรรถนะ!E3)</f>
        <v>2 หัวข้อตามที่ตั้งค่าในระบบ</v>
      </c>
      <c r="FR2" t="str">
        <f>IF(สมรรถนะ!F3=0,"",สมรรถนะ!F3)</f>
        <v>3 หัวข้อตามที่ตั้งค่าในระบบ</v>
      </c>
      <c r="FS2" t="str">
        <f>IF(สมรรถนะ!G3=0,"",สมรรถนะ!G3)</f>
        <v>4 หัวข้อตามที่ตั้งค่าในระบบ</v>
      </c>
      <c r="FT2" t="str">
        <f>IF(สมรรถนะ!H3=0,"",สมรรถนะ!H3)</f>
        <v>5 หัวข้อตามที่ตั้งค่าในระบบ</v>
      </c>
      <c r="FU2" t="str">
        <f>IF(สมรรถนะ!I3=0,"",สมรรถนะ!I3)</f>
        <v>6 หัวข้อตามที่ตั้งค่าในระบบ</v>
      </c>
      <c r="FV2" t="str">
        <f>IF(สมรรถนะ!J3=0,"",สมรรถนะ!J3)</f>
        <v>7 หัวข้อตามที่ตั้งค่าในระบบ</v>
      </c>
      <c r="FW2" t="str">
        <f>IF(สมรรถนะ!K3=0,"",สมรรถนะ!K3)</f>
        <v>8 หัวข้อตามที่ตั้งค่าในระบบ</v>
      </c>
      <c r="FX2" t="str">
        <f>IF(สมรรถนะ!L3=0,"",สมรรถนะ!L3)</f>
        <v>9 หัวข้อตามที่ตั้งค่าในระบบ</v>
      </c>
      <c r="FY2" t="str">
        <f>IF(สมรรถนะ!M3=0,"",สมรรถนะ!M3)</f>
        <v>10 หัวข้อตามที่ตั้งค่าในระบบ</v>
      </c>
      <c r="FZ2" t="str">
        <f>IF(คุณลักษณะอันพึงประสงค์!N4=0,"",คุณลักษณะอันพึงประสงค์!N4)</f>
        <v/>
      </c>
      <c r="GA2" t="str">
        <f>IF(คุณลักษณะอันพึงประสงค์!O4=0,"",คุณลักษณะอันพึงประสงค์!O4)</f>
        <v/>
      </c>
      <c r="GB2" t="str">
        <f>IF(คุณลักษณะอันพึงประสงค์!P4=0,"",คุณลักษณะอันพึงประสงค์!P4)</f>
        <v/>
      </c>
      <c r="GC2" t="str">
        <f>IF(คุณลักษณะอันพึงประสงค์!Q4=0,"",คุณลักษณะอันพึงประสงค์!Q4)</f>
        <v/>
      </c>
      <c r="GD2" t="str">
        <f>IF(คุณลักษณะอันพึงประสงค์!R4=0,"",คุณลักษณะอันพึงประสงค์!R4)</f>
        <v/>
      </c>
      <c r="GE2" t="str">
        <f>IF(คุณลักษณะอันพึงประสงค์!S4=0,"",คุณลักษณะอันพึงประสงค์!S4)</f>
        <v/>
      </c>
      <c r="GF2" t="str">
        <f>IF(คุณลักษณะอันพึงประสงค์!T4=0,"",คุณลักษณะอันพึงประสงค์!T4)</f>
        <v/>
      </c>
      <c r="GG2" t="str">
        <f>IF(คุณลักษณะอันพึงประสงค์!U4=0,"",คุณลักษณะอันพึงประสงค์!U4)</f>
        <v/>
      </c>
      <c r="GH2" t="str">
        <f>IF(คุณลักษณะอันพึงประสงค์!V4=0,"",คุณลักษณะอันพึงประสงค์!V4)</f>
        <v/>
      </c>
      <c r="GI2" t="str">
        <f>IF(คุณลักษณะอันพึงประสงค์!W4=0,"",คุณลักษณะอันพึงประสงค์!W4)</f>
        <v/>
      </c>
      <c r="GJ2">
        <f>IF(คุณลักษณะอันพึงประสงค์!N3=0,"",คุณลักษณะอันพึงประสงค์!N3)</f>
        <v>11</v>
      </c>
      <c r="GK2">
        <f>IF(คุณลักษณะอันพึงประสงค์!O3=0,"",คุณลักษณะอันพึงประสงค์!O3)</f>
        <v>12</v>
      </c>
      <c r="GL2">
        <f>IF(คุณลักษณะอันพึงประสงค์!P3=0,"",คุณลักษณะอันพึงประสงค์!P3)</f>
        <v>13</v>
      </c>
      <c r="GM2">
        <f>IF(คุณลักษณะอันพึงประสงค์!Q3=0,"",คุณลักษณะอันพึงประสงค์!Q3)</f>
        <v>14</v>
      </c>
      <c r="GN2">
        <f>IF(คุณลักษณะอันพึงประสงค์!R3=0,"",คุณลักษณะอันพึงประสงค์!R3)</f>
        <v>15</v>
      </c>
      <c r="GO2">
        <f>IF(คุณลักษณะอันพึงประสงค์!S3=0,"",คุณลักษณะอันพึงประสงค์!S3)</f>
        <v>16</v>
      </c>
      <c r="GP2">
        <f>IF(คุณลักษณะอันพึงประสงค์!T3=0,"",คุณลักษณะอันพึงประสงค์!T3)</f>
        <v>17</v>
      </c>
      <c r="GQ2">
        <f>IF(คุณลักษณะอันพึงประสงค์!U3=0,"",คุณลักษณะอันพึงประสงค์!U3)</f>
        <v>18</v>
      </c>
      <c r="GR2">
        <f>IF(คุณลักษณะอันพึงประสงค์!V3=0,"",คุณลักษณะอันพึงประสงค์!V3)</f>
        <v>19</v>
      </c>
      <c r="GS2">
        <f>IF(คุณลักษณะอันพึงประสงค์!W3=0,"",คุณลักษณะอันพึงประสงค์!W3)</f>
        <v>20</v>
      </c>
    </row>
  </sheetData>
  <sheetProtection algorithmName="SHA-512" hashValue="BvYKKG/MsU29ZWTuYOsVtJRJ0nX/nhjFaJs79qxBRci/Lc9nPczimBlSDneYDy48Zvo2qb1QsnXEzsSPxjQXwg==" saltValue="XuAlq9auwApRx+FPbc4Imw==" spinCount="100000" sheet="1" selectLockedCells="1"/>
  <phoneticPr fontId="12" type="noConversion"/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2910-BB9B-430F-B96F-80B988987070}">
  <dimension ref="A1:CW61"/>
  <sheetViews>
    <sheetView topLeftCell="Y1" zoomScale="88" zoomScaleNormal="88" workbookViewId="0">
      <selection activeCell="CY58" sqref="CY58"/>
    </sheetView>
  </sheetViews>
  <sheetFormatPr defaultRowHeight="14.45"/>
  <cols>
    <col min="2" max="10" width="12" bestFit="1" customWidth="1"/>
    <col min="11" max="21" width="13.28515625" bestFit="1" customWidth="1"/>
    <col min="22" max="41" width="15.7109375"/>
    <col min="42" max="50" width="14.7109375" bestFit="1" customWidth="1"/>
    <col min="51" max="51" width="15.7109375" bestFit="1" customWidth="1"/>
    <col min="52" max="60" width="10.28515625" bestFit="1" customWidth="1"/>
    <col min="61" max="61" width="11.28515625" bestFit="1" customWidth="1"/>
    <col min="62" max="70" width="11" bestFit="1" customWidth="1"/>
    <col min="71" max="71" width="12" bestFit="1" customWidth="1"/>
    <col min="72" max="72" width="18" bestFit="1" customWidth="1"/>
    <col min="73" max="73" width="18.7109375" bestFit="1" customWidth="1"/>
    <col min="74" max="74" width="17.7109375" bestFit="1" customWidth="1"/>
    <col min="75" max="75" width="13.42578125" bestFit="1" customWidth="1"/>
    <col min="76" max="76" width="14.42578125" bestFit="1" customWidth="1"/>
    <col min="82" max="82" width="15.28515625" bestFit="1" customWidth="1"/>
  </cols>
  <sheetData>
    <row r="1" spans="1:101">
      <c r="A1" t="s">
        <v>330</v>
      </c>
      <c r="B1" s="42" t="s">
        <v>331</v>
      </c>
      <c r="C1" s="42" t="s">
        <v>332</v>
      </c>
      <c r="D1" s="42" t="s">
        <v>333</v>
      </c>
      <c r="E1" s="42" t="s">
        <v>334</v>
      </c>
      <c r="F1" s="42" t="s">
        <v>335</v>
      </c>
      <c r="G1" s="42" t="s">
        <v>336</v>
      </c>
      <c r="H1" s="42" t="s">
        <v>337</v>
      </c>
      <c r="I1" s="42" t="s">
        <v>338</v>
      </c>
      <c r="J1" s="42" t="s">
        <v>339</v>
      </c>
      <c r="K1" s="42" t="s">
        <v>340</v>
      </c>
      <c r="L1" s="42" t="s">
        <v>341</v>
      </c>
      <c r="M1" s="42" t="s">
        <v>342</v>
      </c>
      <c r="N1" s="42" t="s">
        <v>343</v>
      </c>
      <c r="O1" s="42" t="s">
        <v>344</v>
      </c>
      <c r="P1" s="42" t="s">
        <v>345</v>
      </c>
      <c r="Q1" s="42" t="s">
        <v>346</v>
      </c>
      <c r="R1" s="42" t="s">
        <v>347</v>
      </c>
      <c r="S1" s="42" t="s">
        <v>348</v>
      </c>
      <c r="T1" s="42" t="s">
        <v>349</v>
      </c>
      <c r="U1" s="42" t="s">
        <v>350</v>
      </c>
      <c r="V1" s="43" t="s">
        <v>351</v>
      </c>
      <c r="W1" s="43" t="s">
        <v>352</v>
      </c>
      <c r="X1" s="43" t="s">
        <v>353</v>
      </c>
      <c r="Y1" s="43" t="s">
        <v>354</v>
      </c>
      <c r="Z1" s="43" t="s">
        <v>355</v>
      </c>
      <c r="AA1" s="43" t="s">
        <v>356</v>
      </c>
      <c r="AB1" s="43" t="s">
        <v>357</v>
      </c>
      <c r="AC1" s="43" t="s">
        <v>358</v>
      </c>
      <c r="AD1" s="43" t="s">
        <v>359</v>
      </c>
      <c r="AE1" s="43" t="s">
        <v>360</v>
      </c>
      <c r="AF1" s="43" t="s">
        <v>361</v>
      </c>
      <c r="AG1" s="43" t="s">
        <v>362</v>
      </c>
      <c r="AH1" s="43" t="s">
        <v>363</v>
      </c>
      <c r="AI1" s="43" t="s">
        <v>364</v>
      </c>
      <c r="AJ1" s="43" t="s">
        <v>365</v>
      </c>
      <c r="AK1" s="43" t="s">
        <v>366</v>
      </c>
      <c r="AL1" s="43" t="s">
        <v>367</v>
      </c>
      <c r="AM1" s="43" t="s">
        <v>368</v>
      </c>
      <c r="AN1" s="43" t="s">
        <v>369</v>
      </c>
      <c r="AO1" s="43" t="s">
        <v>370</v>
      </c>
      <c r="AP1" s="44" t="s">
        <v>371</v>
      </c>
      <c r="AQ1" s="44" t="s">
        <v>372</v>
      </c>
      <c r="AR1" s="44" t="s">
        <v>373</v>
      </c>
      <c r="AS1" s="44" t="s">
        <v>374</v>
      </c>
      <c r="AT1" s="44" t="s">
        <v>375</v>
      </c>
      <c r="AU1" s="44" t="s">
        <v>376</v>
      </c>
      <c r="AV1" s="44" t="s">
        <v>377</v>
      </c>
      <c r="AW1" s="44" t="s">
        <v>378</v>
      </c>
      <c r="AX1" s="44" t="s">
        <v>379</v>
      </c>
      <c r="AY1" s="44" t="s">
        <v>380</v>
      </c>
      <c r="AZ1" s="45" t="s">
        <v>381</v>
      </c>
      <c r="BA1" s="45" t="s">
        <v>382</v>
      </c>
      <c r="BB1" s="45" t="s">
        <v>383</v>
      </c>
      <c r="BC1" s="45" t="s">
        <v>384</v>
      </c>
      <c r="BD1" s="45" t="s">
        <v>385</v>
      </c>
      <c r="BE1" s="45" t="s">
        <v>386</v>
      </c>
      <c r="BF1" s="45" t="s">
        <v>387</v>
      </c>
      <c r="BG1" s="45" t="s">
        <v>388</v>
      </c>
      <c r="BH1" s="45" t="s">
        <v>389</v>
      </c>
      <c r="BI1" s="45" t="s">
        <v>390</v>
      </c>
      <c r="BJ1" s="46" t="s">
        <v>391</v>
      </c>
      <c r="BK1" s="46" t="s">
        <v>392</v>
      </c>
      <c r="BL1" s="46" t="s">
        <v>393</v>
      </c>
      <c r="BM1" s="46" t="s">
        <v>394</v>
      </c>
      <c r="BN1" s="46" t="s">
        <v>395</v>
      </c>
      <c r="BO1" s="46" t="s">
        <v>396</v>
      </c>
      <c r="BP1" s="46" t="s">
        <v>397</v>
      </c>
      <c r="BQ1" s="46" t="s">
        <v>398</v>
      </c>
      <c r="BR1" s="46" t="s">
        <v>399</v>
      </c>
      <c r="BS1" s="46" t="s">
        <v>400</v>
      </c>
      <c r="BT1" t="s">
        <v>401</v>
      </c>
      <c r="BU1" t="s">
        <v>402</v>
      </c>
      <c r="BV1" t="s">
        <v>403</v>
      </c>
      <c r="BW1" s="47" t="s">
        <v>404</v>
      </c>
      <c r="BX1" s="48" t="s">
        <v>405</v>
      </c>
      <c r="BY1" s="41" t="s">
        <v>406</v>
      </c>
      <c r="BZ1" s="41" t="s">
        <v>407</v>
      </c>
      <c r="CA1" s="41" t="s">
        <v>408</v>
      </c>
      <c r="CB1" s="41" t="s">
        <v>409</v>
      </c>
      <c r="CC1" s="41" t="s">
        <v>410</v>
      </c>
      <c r="CD1" s="49" t="s">
        <v>411</v>
      </c>
      <c r="CE1" s="49" t="s">
        <v>412</v>
      </c>
      <c r="CF1" s="49" t="s">
        <v>413</v>
      </c>
      <c r="CG1" s="49" t="s">
        <v>414</v>
      </c>
      <c r="CH1" s="49" t="s">
        <v>415</v>
      </c>
      <c r="CI1" s="49" t="s">
        <v>416</v>
      </c>
      <c r="CJ1" s="49" t="s">
        <v>417</v>
      </c>
      <c r="CK1" s="49" t="s">
        <v>418</v>
      </c>
      <c r="CL1" s="49" t="s">
        <v>419</v>
      </c>
      <c r="CM1" s="49" t="s">
        <v>420</v>
      </c>
      <c r="CN1" s="44" t="s">
        <v>421</v>
      </c>
      <c r="CO1" s="44" t="s">
        <v>422</v>
      </c>
      <c r="CP1" s="44" t="s">
        <v>423</v>
      </c>
      <c r="CQ1" s="44" t="s">
        <v>424</v>
      </c>
      <c r="CR1" s="44" t="s">
        <v>425</v>
      </c>
      <c r="CS1" s="44" t="s">
        <v>426</v>
      </c>
      <c r="CT1" s="44" t="s">
        <v>427</v>
      </c>
      <c r="CU1" s="44" t="s">
        <v>428</v>
      </c>
      <c r="CV1" s="44" t="s">
        <v>429</v>
      </c>
      <c r="CW1" s="44" t="s">
        <v>430</v>
      </c>
    </row>
    <row r="2" spans="1:101">
      <c r="A2" t="str">
        <f>IF(คะแนนเก็บ!B5="","",คะแนนเก็บ!B5)</f>
        <v>123</v>
      </c>
      <c r="B2">
        <f>IF(คะแนนเก็บ!D5="","",คะแนนเก็บ!D5)</f>
        <v>1</v>
      </c>
      <c r="C2" t="str">
        <f>IF(คะแนนเก็บ!E5="","",คะแนนเก็บ!E5)</f>
        <v/>
      </c>
      <c r="D2" t="str">
        <f>IF(คะแนนเก็บ!F5="","",คะแนนเก็บ!F5)</f>
        <v/>
      </c>
      <c r="E2" t="str">
        <f>IF(คะแนนเก็บ!G5="","",คะแนนเก็บ!G5)</f>
        <v/>
      </c>
      <c r="F2" t="str">
        <f>IF(คะแนนเก็บ!H5="","",คะแนนเก็บ!H5)</f>
        <v/>
      </c>
      <c r="G2" t="str">
        <f>IF(คะแนนเก็บ!I5="","",คะแนนเก็บ!I5)</f>
        <v/>
      </c>
      <c r="H2" t="str">
        <f>IF(คะแนนเก็บ!J5="","",คะแนนเก็บ!J5)</f>
        <v/>
      </c>
      <c r="I2" t="str">
        <f>IF(คะแนนเก็บ!K5="","",คะแนนเก็บ!K5)</f>
        <v/>
      </c>
      <c r="J2" t="str">
        <f>IF(คะแนนเก็บ!L5="","",คะแนนเก็บ!L5)</f>
        <v/>
      </c>
      <c r="K2" t="str">
        <f>IF(คะแนนเก็บ!M5="","",คะแนนเก็บ!M5)</f>
        <v/>
      </c>
      <c r="L2" t="str">
        <f>IF(คะแนนเก็บ!N5="","",คะแนนเก็บ!N5)</f>
        <v/>
      </c>
      <c r="M2" t="str">
        <f>IF(คะแนนเก็บ!O5="","",คะแนนเก็บ!O5)</f>
        <v/>
      </c>
      <c r="N2" t="str">
        <f>IF(คะแนนเก็บ!P5="","",คะแนนเก็บ!P5)</f>
        <v/>
      </c>
      <c r="O2" t="str">
        <f>IF(คะแนนเก็บ!Q5="","",คะแนนเก็บ!Q5)</f>
        <v/>
      </c>
      <c r="P2" t="str">
        <f>IF(คะแนนเก็บ!R5="","",คะแนนเก็บ!R5)</f>
        <v/>
      </c>
      <c r="Q2" t="str">
        <f>IF(คะแนนเก็บ!S5="","",คะแนนเก็บ!S5)</f>
        <v/>
      </c>
      <c r="R2" t="str">
        <f>IF(คะแนนเก็บ!T5="","",คะแนนเก็บ!T5)</f>
        <v/>
      </c>
      <c r="S2" t="str">
        <f>IF(คะแนนเก็บ!U5="","",คะแนนเก็บ!U5)</f>
        <v/>
      </c>
      <c r="T2" t="str">
        <f>IF(คะแนนเก็บ!V5="","",คะแนนเก็บ!V5)</f>
        <v/>
      </c>
      <c r="U2" t="str">
        <f>IF(คะแนนเก็บ!W5="","",คะแนนเก็บ!W5)</f>
        <v/>
      </c>
      <c r="V2" t="str">
        <f>IF(คะแนนเก็บหลังกลางภาค!D5="","",คะแนนเก็บหลังกลางภาค!D5)</f>
        <v/>
      </c>
      <c r="W2" t="str">
        <f>IF(คะแนนเก็บหลังกลางภาค!E5="","",คะแนนเก็บหลังกลางภาค!E5)</f>
        <v/>
      </c>
      <c r="X2" t="str">
        <f>IF(คะแนนเก็บหลังกลางภาค!F5="","",คะแนนเก็บหลังกลางภาค!F5)</f>
        <v/>
      </c>
      <c r="Y2" t="str">
        <f>IF(คะแนนเก็บหลังกลางภาค!G5="","",คะแนนเก็บหลังกลางภาค!G5)</f>
        <v/>
      </c>
      <c r="Z2" t="str">
        <f>IF(คะแนนเก็บหลังกลางภาค!H5="","",คะแนนเก็บหลังกลางภาค!H5)</f>
        <v/>
      </c>
      <c r="AA2" t="str">
        <f>IF(คะแนนเก็บหลังกลางภาค!I5="","",คะแนนเก็บหลังกลางภาค!I5)</f>
        <v/>
      </c>
      <c r="AB2" t="str">
        <f>IF(คะแนนเก็บหลังกลางภาค!J5="","",คะแนนเก็บหลังกลางภาค!J5)</f>
        <v/>
      </c>
      <c r="AC2" t="str">
        <f>IF(คะแนนเก็บหลังกลางภาค!K5="","",คะแนนเก็บหลังกลางภาค!K5)</f>
        <v/>
      </c>
      <c r="AD2" t="str">
        <f>IF(คะแนนเก็บหลังกลางภาค!L5="","",คะแนนเก็บหลังกลางภาค!L5)</f>
        <v/>
      </c>
      <c r="AE2" t="str">
        <f>IF(คะแนนเก็บหลังกลางภาค!M5="","",คะแนนเก็บหลังกลางภาค!M5)</f>
        <v/>
      </c>
      <c r="AF2" t="str">
        <f>IF(คะแนนเก็บหลังกลางภาค!N5="","",คะแนนเก็บหลังกลางภาค!N5)</f>
        <v/>
      </c>
      <c r="AG2" t="str">
        <f>IF(คะแนนเก็บหลังกลางภาค!O5="","",คะแนนเก็บหลังกลางภาค!O5)</f>
        <v/>
      </c>
      <c r="AH2" t="str">
        <f>IF(คะแนนเก็บหลังกลางภาค!P5="","",คะแนนเก็บหลังกลางภาค!P5)</f>
        <v/>
      </c>
      <c r="AI2" t="str">
        <f>IF(คะแนนเก็บหลังกลางภาค!Q5="","",คะแนนเก็บหลังกลางภาค!Q5)</f>
        <v/>
      </c>
      <c r="AJ2" t="str">
        <f>IF(คะแนนเก็บหลังกลางภาค!R5="","",คะแนนเก็บหลังกลางภาค!R5)</f>
        <v/>
      </c>
      <c r="AK2" t="str">
        <f>IF(คะแนนเก็บหลังกลางภาค!S5="","",คะแนนเก็บหลังกลางภาค!S5)</f>
        <v/>
      </c>
      <c r="AL2" t="str">
        <f>IF(คะแนนเก็บหลังกลางภาค!T5="","",คะแนนเก็บหลังกลางภาค!T5)</f>
        <v/>
      </c>
      <c r="AM2" t="str">
        <f>IF(คะแนนเก็บหลังกลางภาค!U5="","",คะแนนเก็บหลังกลางภาค!U5)</f>
        <v/>
      </c>
      <c r="AN2" t="str">
        <f>IF(คะแนนเก็บหลังกลางภาค!V5="","",คะแนนเก็บหลังกลางภาค!V5)</f>
        <v/>
      </c>
      <c r="AO2" t="str">
        <f>IF(คะแนนเก็บหลังกลางภาค!W5="","",คะแนนเก็บหลังกลางภาค!W5)</f>
        <v/>
      </c>
      <c r="AP2" t="str">
        <f>IF(คุณลักษณะอันพึงประสงค์!D5="","",คุณลักษณะอันพึงประสงค์!D5)</f>
        <v/>
      </c>
      <c r="AQ2" t="str">
        <f>IF(คุณลักษณะอันพึงประสงค์!E5="","",คุณลักษณะอันพึงประสงค์!E5)</f>
        <v/>
      </c>
      <c r="AR2" t="str">
        <f>IF(คุณลักษณะอันพึงประสงค์!F5="","",คุณลักษณะอันพึงประสงค์!F5)</f>
        <v/>
      </c>
      <c r="AS2" t="str">
        <f>IF(คุณลักษณะอันพึงประสงค์!G5="","",คุณลักษณะอันพึงประสงค์!G5)</f>
        <v/>
      </c>
      <c r="AT2" t="str">
        <f>IF(คุณลักษณะอันพึงประสงค์!H5="","",คุณลักษณะอันพึงประสงค์!H5)</f>
        <v/>
      </c>
      <c r="AU2" t="str">
        <f>IF(คุณลักษณะอันพึงประสงค์!I5="","",คุณลักษณะอันพึงประสงค์!I5)</f>
        <v/>
      </c>
      <c r="AV2" t="str">
        <f>IF(คุณลักษณะอันพึงประสงค์!J5="","",คุณลักษณะอันพึงประสงค์!J5)</f>
        <v/>
      </c>
      <c r="AW2" t="str">
        <f>IF(คุณลักษณะอันพึงประสงค์!K5="","",คุณลักษณะอันพึงประสงค์!K5)</f>
        <v/>
      </c>
      <c r="AX2" t="str">
        <f>IF(คุณลักษณะอันพึงประสงค์!L5="","",คุณลักษณะอันพึงประสงค์!L5)</f>
        <v/>
      </c>
      <c r="AY2" t="str">
        <f>IF(คุณลักษณะอันพึงประสงค์!M5="","",คุณลักษณะอันพึงประสงค์!M5)</f>
        <v/>
      </c>
      <c r="AZ2" t="str">
        <f>IF(กลางภาค!D5="","",กลางภาค!D5)</f>
        <v/>
      </c>
      <c r="BA2" t="str">
        <f>IF(กลางภาค!E5="","",กลางภาค!E5)</f>
        <v/>
      </c>
      <c r="BB2" t="str">
        <f>IF(กลางภาค!F5="","",กลางภาค!F5)</f>
        <v/>
      </c>
      <c r="BC2" t="str">
        <f>IF(กลางภาค!G5="","",กลางภาค!G5)</f>
        <v/>
      </c>
      <c r="BD2" t="str">
        <f>IF(กลางภาค!H5="","",กลางภาค!H5)</f>
        <v/>
      </c>
      <c r="BE2" t="str">
        <f>IF(กลางภาค!I5="","",กลางภาค!I5)</f>
        <v/>
      </c>
      <c r="BF2" t="str">
        <f>IF(กลางภาค!J5="","",กลางภาค!J5)</f>
        <v/>
      </c>
      <c r="BG2" t="str">
        <f>IF(กลางภาค!K5="","",กลางภาค!K5)</f>
        <v/>
      </c>
      <c r="BH2" t="str">
        <f>IF(กลางภาค!L5="","",กลางภาค!L5)</f>
        <v/>
      </c>
      <c r="BI2" t="str">
        <f>IF(กลางภาค!M5="","",กลางภาค!M5)</f>
        <v/>
      </c>
      <c r="BJ2" t="str">
        <f>IF(ปลายภาค!D5="","",ปลายภาค!D5)</f>
        <v/>
      </c>
      <c r="BK2" t="str">
        <f>IF(ปลายภาค!E5="","",ปลายภาค!E5)</f>
        <v/>
      </c>
      <c r="BL2" t="str">
        <f>IF(ปลายภาค!F5="","",ปลายภาค!F5)</f>
        <v/>
      </c>
      <c r="BM2" t="str">
        <f>IF(ปลายภาค!G5="","",ปลายภาค!G5)</f>
        <v/>
      </c>
      <c r="BN2" t="str">
        <f>IF(ปลายภาค!H5="","",ปลายภาค!H5)</f>
        <v/>
      </c>
      <c r="BO2" t="str">
        <f>IF(ปลายภาค!I5="","",ปลายภาค!I5)</f>
        <v/>
      </c>
      <c r="BP2" t="str">
        <f>IF(ปลายภาค!J5="","",ปลายภาค!J5)</f>
        <v/>
      </c>
      <c r="BQ2" t="str">
        <f>IF(ปลายภาค!K5="","",ปลายภาค!K5)</f>
        <v/>
      </c>
      <c r="BR2" t="str">
        <f>IF(ปลายภาค!L5="","",ปลายภาค!L5)</f>
        <v/>
      </c>
      <c r="BS2" t="str">
        <f>IF(ปลายภาค!M5="","",ปลายภาค!M5)</f>
        <v/>
      </c>
      <c r="BT2" t="str">
        <f>IF(กลางภาค!N5="","",กลางภาค!N5)</f>
        <v/>
      </c>
      <c r="BU2" t="str">
        <f>IF(ปลายภาค!N5="","",ปลายภาค!N5)</f>
        <v/>
      </c>
      <c r="BV2" t="str">
        <f>IF(คุณลักษณะอันพึงประสงค์!X5="","",คุณลักษณะอันพึงประสงค์!X5)</f>
        <v/>
      </c>
      <c r="BW2" t="str">
        <f>IF(อ่านคิดวิเคราะห์!I5="","",อ่านคิดวิเคราะห์!I5)</f>
        <v/>
      </c>
      <c r="BX2" t="str">
        <f>IF(สมรรถนะ!N5="","",สมรรถนะ!N5)</f>
        <v/>
      </c>
      <c r="BY2" t="str">
        <f>IF(อ่านคิดวิเคราะห์!D5="","",อ่านคิดวิเคราะห์!D5)</f>
        <v/>
      </c>
      <c r="BZ2" t="str">
        <f>IF(อ่านคิดวิเคราะห์!E5="","",อ่านคิดวิเคราะห์!E5)</f>
        <v/>
      </c>
      <c r="CA2" t="str">
        <f>IF(อ่านคิดวิเคราะห์!F5="","",อ่านคิดวิเคราะห์!F5)</f>
        <v/>
      </c>
      <c r="CB2" t="str">
        <f>IF(อ่านคิดวิเคราะห์!G5="","",อ่านคิดวิเคราะห์!G5)</f>
        <v/>
      </c>
      <c r="CC2" t="str">
        <f>IF(อ่านคิดวิเคราะห์!H5="","",อ่านคิดวิเคราะห์!H5)</f>
        <v/>
      </c>
      <c r="CD2" t="str">
        <f>IF(สมรรถนะ!D5="","",สมรรถนะ!D5)</f>
        <v/>
      </c>
      <c r="CE2" t="str">
        <f>IF(สมรรถนะ!E5="","",สมรรถนะ!E5)</f>
        <v/>
      </c>
      <c r="CF2" t="str">
        <f>IF(สมรรถนะ!F5="","",สมรรถนะ!F5)</f>
        <v/>
      </c>
      <c r="CG2" t="str">
        <f>IF(สมรรถนะ!G5="","",สมรรถนะ!G5)</f>
        <v/>
      </c>
      <c r="CH2" t="str">
        <f>IF(สมรรถนะ!H5="","",สมรรถนะ!H5)</f>
        <v/>
      </c>
      <c r="CI2" t="str">
        <f>IF(สมรรถนะ!I5="","",สมรรถนะ!I5)</f>
        <v/>
      </c>
      <c r="CJ2" t="str">
        <f>IF(สมรรถนะ!J5="","",สมรรถนะ!J5)</f>
        <v/>
      </c>
      <c r="CK2" t="str">
        <f>IF(สมรรถนะ!K5="","",สมรรถนะ!K5)</f>
        <v/>
      </c>
      <c r="CL2" t="str">
        <f>IF(สมรรถนะ!L5="","",สมรรถนะ!L5)</f>
        <v/>
      </c>
      <c r="CM2" t="str">
        <f>IF(สมรรถนะ!M5="","",สมรรถนะ!M5)</f>
        <v/>
      </c>
      <c r="CN2" t="str">
        <f>IF(คุณลักษณะอันพึงประสงค์!N5="","",คุณลักษณะอันพึงประสงค์!N5)</f>
        <v/>
      </c>
      <c r="CO2" t="str">
        <f>IF(คุณลักษณะอันพึงประสงค์!O5="","",คุณลักษณะอันพึงประสงค์!O5)</f>
        <v/>
      </c>
      <c r="CP2" t="str">
        <f>IF(คุณลักษณะอันพึงประสงค์!P5="","",คุณลักษณะอันพึงประสงค์!P5)</f>
        <v/>
      </c>
      <c r="CQ2" t="str">
        <f>IF(คุณลักษณะอันพึงประสงค์!Q5="","",คุณลักษณะอันพึงประสงค์!Q5)</f>
        <v/>
      </c>
      <c r="CR2" t="str">
        <f>IF(คุณลักษณะอันพึงประสงค์!R5="","",คุณลักษณะอันพึงประสงค์!R5)</f>
        <v/>
      </c>
      <c r="CS2" t="str">
        <f>IF(คุณลักษณะอันพึงประสงค์!S5="","",คุณลักษณะอันพึงประสงค์!S5)</f>
        <v/>
      </c>
      <c r="CT2" t="str">
        <f>IF(คุณลักษณะอันพึงประสงค์!T5="","",คุณลักษณะอันพึงประสงค์!T5)</f>
        <v/>
      </c>
      <c r="CU2" t="str">
        <f>IF(คุณลักษณะอันพึงประสงค์!U5="","",คุณลักษณะอันพึงประสงค์!U5)</f>
        <v/>
      </c>
      <c r="CV2" t="str">
        <f>IF(คุณลักษณะอันพึงประสงค์!V5="","",คุณลักษณะอันพึงประสงค์!V5)</f>
        <v/>
      </c>
      <c r="CW2" t="str">
        <f>IF(คุณลักษณะอันพึงประสงค์!W5="","",คุณลักษณะอันพึงประสงค์!W5)</f>
        <v/>
      </c>
    </row>
    <row r="3" spans="1:101">
      <c r="A3" t="str">
        <f>IF(คะแนนเก็บ!B6="","",คะแนนเก็บ!B6)</f>
        <v>456</v>
      </c>
      <c r="B3">
        <f>IF(คะแนนเก็บ!D6="","",คะแนนเก็บ!D6)</f>
        <v>2</v>
      </c>
      <c r="C3" t="str">
        <f>IF(คะแนนเก็บ!E6="","",คะแนนเก็บ!E6)</f>
        <v/>
      </c>
      <c r="D3" t="str">
        <f>IF(คะแนนเก็บ!F6="","",คะแนนเก็บ!F6)</f>
        <v/>
      </c>
      <c r="E3" t="str">
        <f>IF(คะแนนเก็บ!G6="","",คะแนนเก็บ!G6)</f>
        <v/>
      </c>
      <c r="F3" t="str">
        <f>IF(คะแนนเก็บ!H6="","",คะแนนเก็บ!H6)</f>
        <v/>
      </c>
      <c r="G3" t="str">
        <f>IF(คะแนนเก็บ!I6="","",คะแนนเก็บ!I6)</f>
        <v/>
      </c>
      <c r="H3" t="str">
        <f>IF(คะแนนเก็บ!J6="","",คะแนนเก็บ!J6)</f>
        <v/>
      </c>
      <c r="I3" t="str">
        <f>IF(คะแนนเก็บ!K6="","",คะแนนเก็บ!K6)</f>
        <v/>
      </c>
      <c r="J3" t="str">
        <f>IF(คะแนนเก็บ!L6="","",คะแนนเก็บ!L6)</f>
        <v/>
      </c>
      <c r="K3" t="str">
        <f>IF(คะแนนเก็บ!M6="","",คะแนนเก็บ!M6)</f>
        <v/>
      </c>
      <c r="L3" t="str">
        <f>IF(คะแนนเก็บ!N6="","",คะแนนเก็บ!N6)</f>
        <v/>
      </c>
      <c r="M3" t="str">
        <f>IF(คะแนนเก็บ!O6="","",คะแนนเก็บ!O6)</f>
        <v/>
      </c>
      <c r="N3" t="str">
        <f>IF(คะแนนเก็บ!P6="","",คะแนนเก็บ!P6)</f>
        <v/>
      </c>
      <c r="O3" t="str">
        <f>IF(คะแนนเก็บ!Q6="","",คะแนนเก็บ!Q6)</f>
        <v/>
      </c>
      <c r="P3" t="str">
        <f>IF(คะแนนเก็บ!R6="","",คะแนนเก็บ!R6)</f>
        <v/>
      </c>
      <c r="Q3" t="str">
        <f>IF(คะแนนเก็บ!S6="","",คะแนนเก็บ!S6)</f>
        <v/>
      </c>
      <c r="R3" t="str">
        <f>IF(คะแนนเก็บ!T6="","",คะแนนเก็บ!T6)</f>
        <v/>
      </c>
      <c r="S3" t="str">
        <f>IF(คะแนนเก็บ!U6="","",คะแนนเก็บ!U6)</f>
        <v/>
      </c>
      <c r="T3" t="str">
        <f>IF(คะแนนเก็บ!V6="","",คะแนนเก็บ!V6)</f>
        <v/>
      </c>
      <c r="U3" t="str">
        <f>IF(คะแนนเก็บ!W6="","",คะแนนเก็บ!W6)</f>
        <v/>
      </c>
      <c r="V3" t="str">
        <f>IF(คะแนนเก็บหลังกลางภาค!D6="","",คะแนนเก็บหลังกลางภาค!D6)</f>
        <v/>
      </c>
      <c r="W3" t="str">
        <f>IF(คะแนนเก็บหลังกลางภาค!E6="","",คะแนนเก็บหลังกลางภาค!E6)</f>
        <v/>
      </c>
      <c r="X3" t="str">
        <f>IF(คะแนนเก็บหลังกลางภาค!F6="","",คะแนนเก็บหลังกลางภาค!F6)</f>
        <v/>
      </c>
      <c r="Y3" t="str">
        <f>IF(คะแนนเก็บหลังกลางภาค!G6="","",คะแนนเก็บหลังกลางภาค!G6)</f>
        <v/>
      </c>
      <c r="Z3" t="str">
        <f>IF(คะแนนเก็บหลังกลางภาค!H6="","",คะแนนเก็บหลังกลางภาค!H6)</f>
        <v/>
      </c>
      <c r="AA3" t="str">
        <f>IF(คะแนนเก็บหลังกลางภาค!I6="","",คะแนนเก็บหลังกลางภาค!I6)</f>
        <v/>
      </c>
      <c r="AB3" t="str">
        <f>IF(คะแนนเก็บหลังกลางภาค!J6="","",คะแนนเก็บหลังกลางภาค!J6)</f>
        <v/>
      </c>
      <c r="AC3" t="str">
        <f>IF(คะแนนเก็บหลังกลางภาค!K6="","",คะแนนเก็บหลังกลางภาค!K6)</f>
        <v/>
      </c>
      <c r="AD3" t="str">
        <f>IF(คะแนนเก็บหลังกลางภาค!L6="","",คะแนนเก็บหลังกลางภาค!L6)</f>
        <v/>
      </c>
      <c r="AE3" t="str">
        <f>IF(คะแนนเก็บหลังกลางภาค!M6="","",คะแนนเก็บหลังกลางภาค!M6)</f>
        <v/>
      </c>
      <c r="AF3" t="str">
        <f>IF(คะแนนเก็บหลังกลางภาค!N6="","",คะแนนเก็บหลังกลางภาค!N6)</f>
        <v/>
      </c>
      <c r="AG3" t="str">
        <f>IF(คะแนนเก็บหลังกลางภาค!O6="","",คะแนนเก็บหลังกลางภาค!O6)</f>
        <v/>
      </c>
      <c r="AH3" t="str">
        <f>IF(คะแนนเก็บหลังกลางภาค!P6="","",คะแนนเก็บหลังกลางภาค!P6)</f>
        <v/>
      </c>
      <c r="AI3" t="str">
        <f>IF(คะแนนเก็บหลังกลางภาค!Q6="","",คะแนนเก็บหลังกลางภาค!Q6)</f>
        <v/>
      </c>
      <c r="AJ3" t="str">
        <f>IF(คะแนนเก็บหลังกลางภาค!R6="","",คะแนนเก็บหลังกลางภาค!R6)</f>
        <v/>
      </c>
      <c r="AK3" t="str">
        <f>IF(คะแนนเก็บหลังกลางภาค!S6="","",คะแนนเก็บหลังกลางภาค!S6)</f>
        <v/>
      </c>
      <c r="AL3" t="str">
        <f>IF(คะแนนเก็บหลังกลางภาค!T6="","",คะแนนเก็บหลังกลางภาค!T6)</f>
        <v/>
      </c>
      <c r="AM3" t="str">
        <f>IF(คะแนนเก็บหลังกลางภาค!U6="","",คะแนนเก็บหลังกลางภาค!U6)</f>
        <v/>
      </c>
      <c r="AN3" t="str">
        <f>IF(คะแนนเก็บหลังกลางภาค!V6="","",คะแนนเก็บหลังกลางภาค!V6)</f>
        <v/>
      </c>
      <c r="AO3" t="str">
        <f>IF(คะแนนเก็บหลังกลางภาค!W6="","",คะแนนเก็บหลังกลางภาค!W6)</f>
        <v/>
      </c>
      <c r="AP3" t="str">
        <f>IF(คุณลักษณะอันพึงประสงค์!D6="","",คุณลักษณะอันพึงประสงค์!D6)</f>
        <v/>
      </c>
      <c r="AQ3" t="str">
        <f>IF(คุณลักษณะอันพึงประสงค์!E6="","",คุณลักษณะอันพึงประสงค์!E6)</f>
        <v/>
      </c>
      <c r="AR3" t="str">
        <f>IF(คุณลักษณะอันพึงประสงค์!F6="","",คุณลักษณะอันพึงประสงค์!F6)</f>
        <v/>
      </c>
      <c r="AS3" t="str">
        <f>IF(คุณลักษณะอันพึงประสงค์!G6="","",คุณลักษณะอันพึงประสงค์!G6)</f>
        <v/>
      </c>
      <c r="AT3" t="str">
        <f>IF(คุณลักษณะอันพึงประสงค์!H6="","",คุณลักษณะอันพึงประสงค์!H6)</f>
        <v/>
      </c>
      <c r="AU3" t="str">
        <f>IF(คุณลักษณะอันพึงประสงค์!I6="","",คุณลักษณะอันพึงประสงค์!I6)</f>
        <v/>
      </c>
      <c r="AV3" t="str">
        <f>IF(คุณลักษณะอันพึงประสงค์!J6="","",คุณลักษณะอันพึงประสงค์!J6)</f>
        <v/>
      </c>
      <c r="AW3" t="str">
        <f>IF(คุณลักษณะอันพึงประสงค์!K6="","",คุณลักษณะอันพึงประสงค์!K6)</f>
        <v/>
      </c>
      <c r="AX3" t="str">
        <f>IF(คุณลักษณะอันพึงประสงค์!L6="","",คุณลักษณะอันพึงประสงค์!L6)</f>
        <v/>
      </c>
      <c r="AY3" t="str">
        <f>IF(คุณลักษณะอันพึงประสงค์!M6="","",คุณลักษณะอันพึงประสงค์!M6)</f>
        <v/>
      </c>
      <c r="AZ3" t="str">
        <f>IF(กลางภาค!D6="","",กลางภาค!D6)</f>
        <v/>
      </c>
      <c r="BA3" t="str">
        <f>IF(กลางภาค!E6="","",กลางภาค!E6)</f>
        <v/>
      </c>
      <c r="BB3" t="str">
        <f>IF(กลางภาค!F6="","",กลางภาค!F6)</f>
        <v/>
      </c>
      <c r="BC3" t="str">
        <f>IF(กลางภาค!G6="","",กลางภาค!G6)</f>
        <v/>
      </c>
      <c r="BD3" t="str">
        <f>IF(กลางภาค!H6="","",กลางภาค!H6)</f>
        <v/>
      </c>
      <c r="BE3" t="str">
        <f>IF(กลางภาค!I6="","",กลางภาค!I6)</f>
        <v/>
      </c>
      <c r="BF3" t="str">
        <f>IF(กลางภาค!J6="","",กลางภาค!J6)</f>
        <v/>
      </c>
      <c r="BG3" t="str">
        <f>IF(กลางภาค!K6="","",กลางภาค!K6)</f>
        <v/>
      </c>
      <c r="BH3" t="str">
        <f>IF(กลางภาค!L6="","",กลางภาค!L6)</f>
        <v/>
      </c>
      <c r="BI3" t="str">
        <f>IF(กลางภาค!M6="","",กลางภาค!M6)</f>
        <v/>
      </c>
      <c r="BJ3" t="str">
        <f>IF(ปลายภาค!D6="","",ปลายภาค!D6)</f>
        <v/>
      </c>
      <c r="BK3" t="str">
        <f>IF(ปลายภาค!E6="","",ปลายภาค!E6)</f>
        <v/>
      </c>
      <c r="BL3" t="str">
        <f>IF(ปลายภาค!F6="","",ปลายภาค!F6)</f>
        <v/>
      </c>
      <c r="BM3" t="str">
        <f>IF(ปลายภาค!G6="","",ปลายภาค!G6)</f>
        <v/>
      </c>
      <c r="BN3" t="str">
        <f>IF(ปลายภาค!H6="","",ปลายภาค!H6)</f>
        <v/>
      </c>
      <c r="BO3" t="str">
        <f>IF(ปลายภาค!I6="","",ปลายภาค!I6)</f>
        <v/>
      </c>
      <c r="BP3" t="str">
        <f>IF(ปลายภาค!J6="","",ปลายภาค!J6)</f>
        <v/>
      </c>
      <c r="BQ3" t="str">
        <f>IF(ปลายภาค!K6="","",ปลายภาค!K6)</f>
        <v/>
      </c>
      <c r="BR3" t="str">
        <f>IF(ปลายภาค!L6="","",ปลายภาค!L6)</f>
        <v/>
      </c>
      <c r="BS3" t="str">
        <f>IF(ปลายภาค!M6="","",ปลายภาค!M6)</f>
        <v/>
      </c>
      <c r="BT3" t="str">
        <f>IF(กลางภาค!N6="","",กลางภาค!N6)</f>
        <v/>
      </c>
      <c r="BU3" t="str">
        <f>IF(ปลายภาค!N6="","",ปลายภาค!N6)</f>
        <v/>
      </c>
      <c r="BV3" t="str">
        <f>IF(คุณลักษณะอันพึงประสงค์!X6="","",คุณลักษณะอันพึงประสงค์!X6)</f>
        <v/>
      </c>
      <c r="BW3" t="str">
        <f>IF(อ่านคิดวิเคราะห์!I6="","",อ่านคิดวิเคราะห์!I6)</f>
        <v/>
      </c>
      <c r="BX3" t="str">
        <f>IF(สมรรถนะ!N6="","",สมรรถนะ!N6)</f>
        <v/>
      </c>
      <c r="BY3" t="str">
        <f>IF(อ่านคิดวิเคราะห์!D6="","",อ่านคิดวิเคราะห์!D6)</f>
        <v/>
      </c>
      <c r="BZ3" t="str">
        <f>IF(อ่านคิดวิเคราะห์!E6="","",อ่านคิดวิเคราะห์!E6)</f>
        <v/>
      </c>
      <c r="CA3" t="str">
        <f>IF(อ่านคิดวิเคราะห์!F6="","",อ่านคิดวิเคราะห์!F6)</f>
        <v/>
      </c>
      <c r="CB3" t="str">
        <f>IF(อ่านคิดวิเคราะห์!G6="","",อ่านคิดวิเคราะห์!G6)</f>
        <v/>
      </c>
      <c r="CC3" t="str">
        <f>IF(อ่านคิดวิเคราะห์!H6="","",อ่านคิดวิเคราะห์!H6)</f>
        <v/>
      </c>
      <c r="CD3" t="str">
        <f>IF(สมรรถนะ!D6="","",สมรรถนะ!D6)</f>
        <v/>
      </c>
      <c r="CE3" t="str">
        <f>IF(สมรรถนะ!E6="","",สมรรถนะ!E6)</f>
        <v/>
      </c>
      <c r="CF3" t="str">
        <f>IF(สมรรถนะ!F6="","",สมรรถนะ!F6)</f>
        <v/>
      </c>
      <c r="CG3" t="str">
        <f>IF(สมรรถนะ!G6="","",สมรรถนะ!G6)</f>
        <v/>
      </c>
      <c r="CH3" t="str">
        <f>IF(สมรรถนะ!H6="","",สมรรถนะ!H6)</f>
        <v/>
      </c>
      <c r="CI3" t="str">
        <f>IF(สมรรถนะ!I6="","",สมรรถนะ!I6)</f>
        <v/>
      </c>
      <c r="CJ3" t="str">
        <f>IF(สมรรถนะ!J6="","",สมรรถนะ!J6)</f>
        <v/>
      </c>
      <c r="CK3" t="str">
        <f>IF(สมรรถนะ!K6="","",สมรรถนะ!K6)</f>
        <v/>
      </c>
      <c r="CL3" t="str">
        <f>IF(สมรรถนะ!L6="","",สมรรถนะ!L6)</f>
        <v/>
      </c>
      <c r="CM3" t="str">
        <f>IF(สมรรถนะ!M6="","",สมรรถนะ!M6)</f>
        <v/>
      </c>
      <c r="CN3" t="str">
        <f>IF(คุณลักษณะอันพึงประสงค์!N6="","",คุณลักษณะอันพึงประสงค์!N6)</f>
        <v/>
      </c>
      <c r="CO3" t="str">
        <f>IF(คุณลักษณะอันพึงประสงค์!O6="","",คุณลักษณะอันพึงประสงค์!O6)</f>
        <v/>
      </c>
      <c r="CP3" t="str">
        <f>IF(คุณลักษณะอันพึงประสงค์!P6="","",คุณลักษณะอันพึงประสงค์!P6)</f>
        <v/>
      </c>
      <c r="CQ3" t="str">
        <f>IF(คุณลักษณะอันพึงประสงค์!Q6="","",คุณลักษณะอันพึงประสงค์!Q6)</f>
        <v/>
      </c>
      <c r="CR3" t="str">
        <f>IF(คุณลักษณะอันพึงประสงค์!R6="","",คุณลักษณะอันพึงประสงค์!R6)</f>
        <v/>
      </c>
      <c r="CS3" t="str">
        <f>IF(คุณลักษณะอันพึงประสงค์!S6="","",คุณลักษณะอันพึงประสงค์!S6)</f>
        <v/>
      </c>
      <c r="CT3" t="str">
        <f>IF(คุณลักษณะอันพึงประสงค์!T6="","",คุณลักษณะอันพึงประสงค์!T6)</f>
        <v/>
      </c>
      <c r="CU3" t="str">
        <f>IF(คุณลักษณะอันพึงประสงค์!U6="","",คุณลักษณะอันพึงประสงค์!U6)</f>
        <v/>
      </c>
      <c r="CV3" t="str">
        <f>IF(คุณลักษณะอันพึงประสงค์!V6="","",คุณลักษณะอันพึงประสงค์!V6)</f>
        <v/>
      </c>
      <c r="CW3" t="str">
        <f>IF(คุณลักษณะอันพึงประสงค์!W6="","",คุณลักษณะอันพึงประสงค์!W6)</f>
        <v/>
      </c>
    </row>
    <row r="4" spans="1:101">
      <c r="A4" t="str">
        <f>IF(คะแนนเก็บ!B7="","",คะแนนเก็บ!B7)</f>
        <v>A123</v>
      </c>
      <c r="B4">
        <f>IF(คะแนนเก็บ!D7="","",คะแนนเก็บ!D7)</f>
        <v>3</v>
      </c>
      <c r="C4" t="str">
        <f>IF(คะแนนเก็บ!E7="","",คะแนนเก็บ!E7)</f>
        <v/>
      </c>
      <c r="D4" t="str">
        <f>IF(คะแนนเก็บ!F7="","",คะแนนเก็บ!F7)</f>
        <v/>
      </c>
      <c r="E4" t="str">
        <f>IF(คะแนนเก็บ!G7="","",คะแนนเก็บ!G7)</f>
        <v/>
      </c>
      <c r="F4" t="str">
        <f>IF(คะแนนเก็บ!H7="","",คะแนนเก็บ!H7)</f>
        <v/>
      </c>
      <c r="G4" t="str">
        <f>IF(คะแนนเก็บ!I7="","",คะแนนเก็บ!I7)</f>
        <v/>
      </c>
      <c r="H4" t="str">
        <f>IF(คะแนนเก็บ!J7="","",คะแนนเก็บ!J7)</f>
        <v/>
      </c>
      <c r="I4" t="str">
        <f>IF(คะแนนเก็บ!K7="","",คะแนนเก็บ!K7)</f>
        <v/>
      </c>
      <c r="J4" t="str">
        <f>IF(คะแนนเก็บ!L7="","",คะแนนเก็บ!L7)</f>
        <v/>
      </c>
      <c r="K4" t="str">
        <f>IF(คะแนนเก็บ!M7="","",คะแนนเก็บ!M7)</f>
        <v/>
      </c>
      <c r="L4" t="str">
        <f>IF(คะแนนเก็บ!N7="","",คะแนนเก็บ!N7)</f>
        <v/>
      </c>
      <c r="M4" t="str">
        <f>IF(คะแนนเก็บ!O7="","",คะแนนเก็บ!O7)</f>
        <v/>
      </c>
      <c r="N4" t="str">
        <f>IF(คะแนนเก็บ!P7="","",คะแนนเก็บ!P7)</f>
        <v/>
      </c>
      <c r="O4" t="str">
        <f>IF(คะแนนเก็บ!Q7="","",คะแนนเก็บ!Q7)</f>
        <v/>
      </c>
      <c r="P4" t="str">
        <f>IF(คะแนนเก็บ!R7="","",คะแนนเก็บ!R7)</f>
        <v/>
      </c>
      <c r="Q4" t="str">
        <f>IF(คะแนนเก็บ!S7="","",คะแนนเก็บ!S7)</f>
        <v/>
      </c>
      <c r="R4" t="str">
        <f>IF(คะแนนเก็บ!T7="","",คะแนนเก็บ!T7)</f>
        <v/>
      </c>
      <c r="S4" t="str">
        <f>IF(คะแนนเก็บ!U7="","",คะแนนเก็บ!U7)</f>
        <v/>
      </c>
      <c r="T4" t="str">
        <f>IF(คะแนนเก็บ!V7="","",คะแนนเก็บ!V7)</f>
        <v/>
      </c>
      <c r="U4" t="str">
        <f>IF(คะแนนเก็บ!W7="","",คะแนนเก็บ!W7)</f>
        <v/>
      </c>
      <c r="V4" t="str">
        <f>IF(คะแนนเก็บหลังกลางภาค!D7="","",คะแนนเก็บหลังกลางภาค!D7)</f>
        <v/>
      </c>
      <c r="W4" t="str">
        <f>IF(คะแนนเก็บหลังกลางภาค!E7="","",คะแนนเก็บหลังกลางภาค!E7)</f>
        <v/>
      </c>
      <c r="X4" t="str">
        <f>IF(คะแนนเก็บหลังกลางภาค!F7="","",คะแนนเก็บหลังกลางภาค!F7)</f>
        <v/>
      </c>
      <c r="Y4" t="str">
        <f>IF(คะแนนเก็บหลังกลางภาค!G7="","",คะแนนเก็บหลังกลางภาค!G7)</f>
        <v/>
      </c>
      <c r="Z4" t="str">
        <f>IF(คะแนนเก็บหลังกลางภาค!H7="","",คะแนนเก็บหลังกลางภาค!H7)</f>
        <v/>
      </c>
      <c r="AA4" t="str">
        <f>IF(คะแนนเก็บหลังกลางภาค!I7="","",คะแนนเก็บหลังกลางภาค!I7)</f>
        <v/>
      </c>
      <c r="AB4" t="str">
        <f>IF(คะแนนเก็บหลังกลางภาค!J7="","",คะแนนเก็บหลังกลางภาค!J7)</f>
        <v/>
      </c>
      <c r="AC4" t="str">
        <f>IF(คะแนนเก็บหลังกลางภาค!K7="","",คะแนนเก็บหลังกลางภาค!K7)</f>
        <v/>
      </c>
      <c r="AD4" t="str">
        <f>IF(คะแนนเก็บหลังกลางภาค!L7="","",คะแนนเก็บหลังกลางภาค!L7)</f>
        <v/>
      </c>
      <c r="AE4" t="str">
        <f>IF(คะแนนเก็บหลังกลางภาค!M7="","",คะแนนเก็บหลังกลางภาค!M7)</f>
        <v/>
      </c>
      <c r="AF4" t="str">
        <f>IF(คะแนนเก็บหลังกลางภาค!N7="","",คะแนนเก็บหลังกลางภาค!N7)</f>
        <v/>
      </c>
      <c r="AG4" t="str">
        <f>IF(คะแนนเก็บหลังกลางภาค!O7="","",คะแนนเก็บหลังกลางภาค!O7)</f>
        <v/>
      </c>
      <c r="AH4" t="str">
        <f>IF(คะแนนเก็บหลังกลางภาค!P7="","",คะแนนเก็บหลังกลางภาค!P7)</f>
        <v/>
      </c>
      <c r="AI4" t="str">
        <f>IF(คะแนนเก็บหลังกลางภาค!Q7="","",คะแนนเก็บหลังกลางภาค!Q7)</f>
        <v/>
      </c>
      <c r="AJ4" t="str">
        <f>IF(คะแนนเก็บหลังกลางภาค!R7="","",คะแนนเก็บหลังกลางภาค!R7)</f>
        <v/>
      </c>
      <c r="AK4" t="str">
        <f>IF(คะแนนเก็บหลังกลางภาค!S7="","",คะแนนเก็บหลังกลางภาค!S7)</f>
        <v/>
      </c>
      <c r="AL4" t="str">
        <f>IF(คะแนนเก็บหลังกลางภาค!T7="","",คะแนนเก็บหลังกลางภาค!T7)</f>
        <v/>
      </c>
      <c r="AM4" t="str">
        <f>IF(คะแนนเก็บหลังกลางภาค!U7="","",คะแนนเก็บหลังกลางภาค!U7)</f>
        <v/>
      </c>
      <c r="AN4" t="str">
        <f>IF(คะแนนเก็บหลังกลางภาค!V7="","",คะแนนเก็บหลังกลางภาค!V7)</f>
        <v/>
      </c>
      <c r="AO4" t="str">
        <f>IF(คะแนนเก็บหลังกลางภาค!W7="","",คะแนนเก็บหลังกลางภาค!W7)</f>
        <v/>
      </c>
      <c r="AP4" t="str">
        <f>IF(คุณลักษณะอันพึงประสงค์!D7="","",คุณลักษณะอันพึงประสงค์!D7)</f>
        <v/>
      </c>
      <c r="AQ4" t="str">
        <f>IF(คุณลักษณะอันพึงประสงค์!E7="","",คุณลักษณะอันพึงประสงค์!E7)</f>
        <v/>
      </c>
      <c r="AR4" t="str">
        <f>IF(คุณลักษณะอันพึงประสงค์!F7="","",คุณลักษณะอันพึงประสงค์!F7)</f>
        <v/>
      </c>
      <c r="AS4" t="str">
        <f>IF(คุณลักษณะอันพึงประสงค์!G7="","",คุณลักษณะอันพึงประสงค์!G7)</f>
        <v/>
      </c>
      <c r="AT4" t="str">
        <f>IF(คุณลักษณะอันพึงประสงค์!H7="","",คุณลักษณะอันพึงประสงค์!H7)</f>
        <v/>
      </c>
      <c r="AU4" t="str">
        <f>IF(คุณลักษณะอันพึงประสงค์!I7="","",คุณลักษณะอันพึงประสงค์!I7)</f>
        <v/>
      </c>
      <c r="AV4" t="str">
        <f>IF(คุณลักษณะอันพึงประสงค์!J7="","",คุณลักษณะอันพึงประสงค์!J7)</f>
        <v/>
      </c>
      <c r="AW4" t="str">
        <f>IF(คุณลักษณะอันพึงประสงค์!K7="","",คุณลักษณะอันพึงประสงค์!K7)</f>
        <v/>
      </c>
      <c r="AX4" t="str">
        <f>IF(คุณลักษณะอันพึงประสงค์!L7="","",คุณลักษณะอันพึงประสงค์!L7)</f>
        <v/>
      </c>
      <c r="AY4" t="str">
        <f>IF(คุณลักษณะอันพึงประสงค์!M7="","",คุณลักษณะอันพึงประสงค์!M7)</f>
        <v/>
      </c>
      <c r="AZ4" t="str">
        <f>IF(กลางภาค!D7="","",กลางภาค!D7)</f>
        <v/>
      </c>
      <c r="BA4" t="str">
        <f>IF(กลางภาค!E7="","",กลางภาค!E7)</f>
        <v/>
      </c>
      <c r="BB4" t="str">
        <f>IF(กลางภาค!F7="","",กลางภาค!F7)</f>
        <v/>
      </c>
      <c r="BC4" t="str">
        <f>IF(กลางภาค!G7="","",กลางภาค!G7)</f>
        <v/>
      </c>
      <c r="BD4" t="str">
        <f>IF(กลางภาค!H7="","",กลางภาค!H7)</f>
        <v/>
      </c>
      <c r="BE4" t="str">
        <f>IF(กลางภาค!I7="","",กลางภาค!I7)</f>
        <v/>
      </c>
      <c r="BF4" t="str">
        <f>IF(กลางภาค!J7="","",กลางภาค!J7)</f>
        <v/>
      </c>
      <c r="BG4" t="str">
        <f>IF(กลางภาค!K7="","",กลางภาค!K7)</f>
        <v/>
      </c>
      <c r="BH4" t="str">
        <f>IF(กลางภาค!L7="","",กลางภาค!L7)</f>
        <v/>
      </c>
      <c r="BI4" t="str">
        <f>IF(กลางภาค!M7="","",กลางภาค!M7)</f>
        <v/>
      </c>
      <c r="BJ4" t="str">
        <f>IF(ปลายภาค!D7="","",ปลายภาค!D7)</f>
        <v/>
      </c>
      <c r="BK4" t="str">
        <f>IF(ปลายภาค!E7="","",ปลายภาค!E7)</f>
        <v/>
      </c>
      <c r="BL4" t="str">
        <f>IF(ปลายภาค!F7="","",ปลายภาค!F7)</f>
        <v/>
      </c>
      <c r="BM4" t="str">
        <f>IF(ปลายภาค!G7="","",ปลายภาค!G7)</f>
        <v/>
      </c>
      <c r="BN4" t="str">
        <f>IF(ปลายภาค!H7="","",ปลายภาค!H7)</f>
        <v/>
      </c>
      <c r="BO4" t="str">
        <f>IF(ปลายภาค!I7="","",ปลายภาค!I7)</f>
        <v/>
      </c>
      <c r="BP4" t="str">
        <f>IF(ปลายภาค!J7="","",ปลายภาค!J7)</f>
        <v/>
      </c>
      <c r="BQ4" t="str">
        <f>IF(ปลายภาค!K7="","",ปลายภาค!K7)</f>
        <v/>
      </c>
      <c r="BR4" t="str">
        <f>IF(ปลายภาค!L7="","",ปลายภาค!L7)</f>
        <v/>
      </c>
      <c r="BS4" t="str">
        <f>IF(ปลายภาค!M7="","",ปลายภาค!M7)</f>
        <v/>
      </c>
      <c r="BT4" t="str">
        <f>IF(กลางภาค!N7="","",กลางภาค!N7)</f>
        <v/>
      </c>
      <c r="BU4" t="str">
        <f>IF(ปลายภาค!N7="","",ปลายภาค!N7)</f>
        <v/>
      </c>
      <c r="BV4" t="str">
        <f>IF(คุณลักษณะอันพึงประสงค์!X7="","",คุณลักษณะอันพึงประสงค์!X7)</f>
        <v/>
      </c>
      <c r="BW4" t="str">
        <f>IF(อ่านคิดวิเคราะห์!I7="","",อ่านคิดวิเคราะห์!I7)</f>
        <v/>
      </c>
      <c r="BX4" t="str">
        <f>IF(สมรรถนะ!N7="","",สมรรถนะ!N7)</f>
        <v/>
      </c>
      <c r="BY4" t="str">
        <f>IF(อ่านคิดวิเคราะห์!D7="","",อ่านคิดวิเคราะห์!D7)</f>
        <v/>
      </c>
      <c r="BZ4" t="str">
        <f>IF(อ่านคิดวิเคราะห์!E7="","",อ่านคิดวิเคราะห์!E7)</f>
        <v/>
      </c>
      <c r="CA4" t="str">
        <f>IF(อ่านคิดวิเคราะห์!F7="","",อ่านคิดวิเคราะห์!F7)</f>
        <v/>
      </c>
      <c r="CB4" t="str">
        <f>IF(อ่านคิดวิเคราะห์!G7="","",อ่านคิดวิเคราะห์!G7)</f>
        <v/>
      </c>
      <c r="CC4" t="str">
        <f>IF(อ่านคิดวิเคราะห์!H7="","",อ่านคิดวิเคราะห์!H7)</f>
        <v/>
      </c>
      <c r="CD4" t="str">
        <f>IF(สมรรถนะ!D7="","",สมรรถนะ!D7)</f>
        <v/>
      </c>
      <c r="CE4" t="str">
        <f>IF(สมรรถนะ!E7="","",สมรรถนะ!E7)</f>
        <v/>
      </c>
      <c r="CF4" t="str">
        <f>IF(สมรรถนะ!F7="","",สมรรถนะ!F7)</f>
        <v/>
      </c>
      <c r="CG4" t="str">
        <f>IF(สมรรถนะ!G7="","",สมรรถนะ!G7)</f>
        <v/>
      </c>
      <c r="CH4" t="str">
        <f>IF(สมรรถนะ!H7="","",สมรรถนะ!H7)</f>
        <v/>
      </c>
      <c r="CI4" t="str">
        <f>IF(สมรรถนะ!I7="","",สมรรถนะ!I7)</f>
        <v/>
      </c>
      <c r="CJ4" t="str">
        <f>IF(สมรรถนะ!J7="","",สมรรถนะ!J7)</f>
        <v/>
      </c>
      <c r="CK4" t="str">
        <f>IF(สมรรถนะ!K7="","",สมรรถนะ!K7)</f>
        <v/>
      </c>
      <c r="CL4" t="str">
        <f>IF(สมรรถนะ!L7="","",สมรรถนะ!L7)</f>
        <v/>
      </c>
      <c r="CM4" t="str">
        <f>IF(สมรรถนะ!M7="","",สมรรถนะ!M7)</f>
        <v/>
      </c>
      <c r="CN4" t="str">
        <f>IF(คุณลักษณะอันพึงประสงค์!N7="","",คุณลักษณะอันพึงประสงค์!N7)</f>
        <v/>
      </c>
      <c r="CO4" t="str">
        <f>IF(คุณลักษณะอันพึงประสงค์!O7="","",คุณลักษณะอันพึงประสงค์!O7)</f>
        <v/>
      </c>
      <c r="CP4" t="str">
        <f>IF(คุณลักษณะอันพึงประสงค์!P7="","",คุณลักษณะอันพึงประสงค์!P7)</f>
        <v/>
      </c>
      <c r="CQ4" t="str">
        <f>IF(คุณลักษณะอันพึงประสงค์!Q7="","",คุณลักษณะอันพึงประสงค์!Q7)</f>
        <v/>
      </c>
      <c r="CR4" t="str">
        <f>IF(คุณลักษณะอันพึงประสงค์!R7="","",คุณลักษณะอันพึงประสงค์!R7)</f>
        <v/>
      </c>
      <c r="CS4" t="str">
        <f>IF(คุณลักษณะอันพึงประสงค์!S7="","",คุณลักษณะอันพึงประสงค์!S7)</f>
        <v/>
      </c>
      <c r="CT4" t="str">
        <f>IF(คุณลักษณะอันพึงประสงค์!T7="","",คุณลักษณะอันพึงประสงค์!T7)</f>
        <v/>
      </c>
      <c r="CU4" t="str">
        <f>IF(คุณลักษณะอันพึงประสงค์!U7="","",คุณลักษณะอันพึงประสงค์!U7)</f>
        <v/>
      </c>
      <c r="CV4" t="str">
        <f>IF(คุณลักษณะอันพึงประสงค์!V7="","",คุณลักษณะอันพึงประสงค์!V7)</f>
        <v/>
      </c>
      <c r="CW4" t="str">
        <f>IF(คุณลักษณะอันพึงประสงค์!W7="","",คุณลักษณะอันพึงประสงค์!W7)</f>
        <v/>
      </c>
    </row>
    <row r="5" spans="1:101">
      <c r="A5" t="str">
        <f>IF(คะแนนเก็บ!B8="","",คะแนนเก็บ!B8)</f>
        <v/>
      </c>
      <c r="B5" t="str">
        <f>IF(คะแนนเก็บ!D8="","",คะแนนเก็บ!D8)</f>
        <v/>
      </c>
      <c r="C5" t="str">
        <f>IF(คะแนนเก็บ!E8="","",คะแนนเก็บ!E8)</f>
        <v/>
      </c>
      <c r="D5" t="str">
        <f>IF(คะแนนเก็บ!F8="","",คะแนนเก็บ!F8)</f>
        <v/>
      </c>
      <c r="E5" t="str">
        <f>IF(คะแนนเก็บ!G8="","",คะแนนเก็บ!G8)</f>
        <v/>
      </c>
      <c r="F5" t="str">
        <f>IF(คะแนนเก็บ!H8="","",คะแนนเก็บ!H8)</f>
        <v/>
      </c>
      <c r="G5" t="str">
        <f>IF(คะแนนเก็บ!I8="","",คะแนนเก็บ!I8)</f>
        <v/>
      </c>
      <c r="H5" t="str">
        <f>IF(คะแนนเก็บ!J8="","",คะแนนเก็บ!J8)</f>
        <v/>
      </c>
      <c r="I5" t="str">
        <f>IF(คะแนนเก็บ!K8="","",คะแนนเก็บ!K8)</f>
        <v/>
      </c>
      <c r="J5" t="str">
        <f>IF(คะแนนเก็บ!L8="","",คะแนนเก็บ!L8)</f>
        <v/>
      </c>
      <c r="K5" t="str">
        <f>IF(คะแนนเก็บ!M8="","",คะแนนเก็บ!M8)</f>
        <v/>
      </c>
      <c r="L5" t="str">
        <f>IF(คะแนนเก็บ!N8="","",คะแนนเก็บ!N8)</f>
        <v/>
      </c>
      <c r="M5" t="str">
        <f>IF(คะแนนเก็บ!O8="","",คะแนนเก็บ!O8)</f>
        <v/>
      </c>
      <c r="N5" t="str">
        <f>IF(คะแนนเก็บ!P8="","",คะแนนเก็บ!P8)</f>
        <v/>
      </c>
      <c r="O5" t="str">
        <f>IF(คะแนนเก็บ!Q8="","",คะแนนเก็บ!Q8)</f>
        <v/>
      </c>
      <c r="P5" t="str">
        <f>IF(คะแนนเก็บ!R8="","",คะแนนเก็บ!R8)</f>
        <v/>
      </c>
      <c r="Q5" t="str">
        <f>IF(คะแนนเก็บ!S8="","",คะแนนเก็บ!S8)</f>
        <v/>
      </c>
      <c r="R5" t="str">
        <f>IF(คะแนนเก็บ!T8="","",คะแนนเก็บ!T8)</f>
        <v/>
      </c>
      <c r="S5" t="str">
        <f>IF(คะแนนเก็บ!U8="","",คะแนนเก็บ!U8)</f>
        <v/>
      </c>
      <c r="T5" t="str">
        <f>IF(คะแนนเก็บ!V8="","",คะแนนเก็บ!V8)</f>
        <v/>
      </c>
      <c r="U5" t="str">
        <f>IF(คะแนนเก็บ!W8="","",คะแนนเก็บ!W8)</f>
        <v/>
      </c>
      <c r="V5" t="str">
        <f>IF(คะแนนเก็บหลังกลางภาค!D8="","",คะแนนเก็บหลังกลางภาค!D8)</f>
        <v/>
      </c>
      <c r="W5" t="str">
        <f>IF(คะแนนเก็บหลังกลางภาค!E8="","",คะแนนเก็บหลังกลางภาค!E8)</f>
        <v/>
      </c>
      <c r="X5" t="str">
        <f>IF(คะแนนเก็บหลังกลางภาค!F8="","",คะแนนเก็บหลังกลางภาค!F8)</f>
        <v/>
      </c>
      <c r="Y5" t="str">
        <f>IF(คะแนนเก็บหลังกลางภาค!G8="","",คะแนนเก็บหลังกลางภาค!G8)</f>
        <v/>
      </c>
      <c r="Z5" t="str">
        <f>IF(คะแนนเก็บหลังกลางภาค!H8="","",คะแนนเก็บหลังกลางภาค!H8)</f>
        <v/>
      </c>
      <c r="AA5" t="str">
        <f>IF(คะแนนเก็บหลังกลางภาค!I8="","",คะแนนเก็บหลังกลางภาค!I8)</f>
        <v/>
      </c>
      <c r="AB5" t="str">
        <f>IF(คะแนนเก็บหลังกลางภาค!J8="","",คะแนนเก็บหลังกลางภาค!J8)</f>
        <v/>
      </c>
      <c r="AC5" t="str">
        <f>IF(คะแนนเก็บหลังกลางภาค!K8="","",คะแนนเก็บหลังกลางภาค!K8)</f>
        <v/>
      </c>
      <c r="AD5" t="str">
        <f>IF(คะแนนเก็บหลังกลางภาค!L8="","",คะแนนเก็บหลังกลางภาค!L8)</f>
        <v/>
      </c>
      <c r="AE5" t="str">
        <f>IF(คะแนนเก็บหลังกลางภาค!M8="","",คะแนนเก็บหลังกลางภาค!M8)</f>
        <v/>
      </c>
      <c r="AF5" t="str">
        <f>IF(คะแนนเก็บหลังกลางภาค!N8="","",คะแนนเก็บหลังกลางภาค!N8)</f>
        <v/>
      </c>
      <c r="AG5" t="str">
        <f>IF(คะแนนเก็บหลังกลางภาค!O8="","",คะแนนเก็บหลังกลางภาค!O8)</f>
        <v/>
      </c>
      <c r="AH5" t="str">
        <f>IF(คะแนนเก็บหลังกลางภาค!P8="","",คะแนนเก็บหลังกลางภาค!P8)</f>
        <v/>
      </c>
      <c r="AI5" t="str">
        <f>IF(คะแนนเก็บหลังกลางภาค!Q8="","",คะแนนเก็บหลังกลางภาค!Q8)</f>
        <v/>
      </c>
      <c r="AJ5" t="str">
        <f>IF(คะแนนเก็บหลังกลางภาค!R8="","",คะแนนเก็บหลังกลางภาค!R8)</f>
        <v/>
      </c>
      <c r="AK5" t="str">
        <f>IF(คะแนนเก็บหลังกลางภาค!S8="","",คะแนนเก็บหลังกลางภาค!S8)</f>
        <v/>
      </c>
      <c r="AL5" t="str">
        <f>IF(คะแนนเก็บหลังกลางภาค!T8="","",คะแนนเก็บหลังกลางภาค!T8)</f>
        <v/>
      </c>
      <c r="AM5" t="str">
        <f>IF(คะแนนเก็บหลังกลางภาค!U8="","",คะแนนเก็บหลังกลางภาค!U8)</f>
        <v/>
      </c>
      <c r="AN5" t="str">
        <f>IF(คะแนนเก็บหลังกลางภาค!V8="","",คะแนนเก็บหลังกลางภาค!V8)</f>
        <v/>
      </c>
      <c r="AO5" t="str">
        <f>IF(คะแนนเก็บหลังกลางภาค!W8="","",คะแนนเก็บหลังกลางภาค!W8)</f>
        <v/>
      </c>
      <c r="AP5" t="str">
        <f>IF(คุณลักษณะอันพึงประสงค์!D8="","",คุณลักษณะอันพึงประสงค์!D8)</f>
        <v/>
      </c>
      <c r="AQ5" t="str">
        <f>IF(คุณลักษณะอันพึงประสงค์!E8="","",คุณลักษณะอันพึงประสงค์!E8)</f>
        <v/>
      </c>
      <c r="AR5" t="str">
        <f>IF(คุณลักษณะอันพึงประสงค์!F8="","",คุณลักษณะอันพึงประสงค์!F8)</f>
        <v/>
      </c>
      <c r="AS5" t="str">
        <f>IF(คุณลักษณะอันพึงประสงค์!G8="","",คุณลักษณะอันพึงประสงค์!G8)</f>
        <v/>
      </c>
      <c r="AT5" t="str">
        <f>IF(คุณลักษณะอันพึงประสงค์!H8="","",คุณลักษณะอันพึงประสงค์!H8)</f>
        <v/>
      </c>
      <c r="AU5" t="str">
        <f>IF(คุณลักษณะอันพึงประสงค์!I8="","",คุณลักษณะอันพึงประสงค์!I8)</f>
        <v/>
      </c>
      <c r="AV5" t="str">
        <f>IF(คุณลักษณะอันพึงประสงค์!J8="","",คุณลักษณะอันพึงประสงค์!J8)</f>
        <v/>
      </c>
      <c r="AW5" t="str">
        <f>IF(คุณลักษณะอันพึงประสงค์!K8="","",คุณลักษณะอันพึงประสงค์!K8)</f>
        <v/>
      </c>
      <c r="AX5" t="str">
        <f>IF(คุณลักษณะอันพึงประสงค์!L8="","",คุณลักษณะอันพึงประสงค์!L8)</f>
        <v/>
      </c>
      <c r="AY5" t="str">
        <f>IF(คุณลักษณะอันพึงประสงค์!M8="","",คุณลักษณะอันพึงประสงค์!M8)</f>
        <v/>
      </c>
      <c r="AZ5" t="str">
        <f>IF(กลางภาค!D8="","",กลางภาค!D8)</f>
        <v/>
      </c>
      <c r="BA5" t="str">
        <f>IF(กลางภาค!E8="","",กลางภาค!E8)</f>
        <v/>
      </c>
      <c r="BB5" t="str">
        <f>IF(กลางภาค!F8="","",กลางภาค!F8)</f>
        <v/>
      </c>
      <c r="BC5" t="str">
        <f>IF(กลางภาค!G8="","",กลางภาค!G8)</f>
        <v/>
      </c>
      <c r="BD5" t="str">
        <f>IF(กลางภาค!H8="","",กลางภาค!H8)</f>
        <v/>
      </c>
      <c r="BE5" t="str">
        <f>IF(กลางภาค!I8="","",กลางภาค!I8)</f>
        <v/>
      </c>
      <c r="BF5" t="str">
        <f>IF(กลางภาค!J8="","",กลางภาค!J8)</f>
        <v/>
      </c>
      <c r="BG5" t="str">
        <f>IF(กลางภาค!K8="","",กลางภาค!K8)</f>
        <v/>
      </c>
      <c r="BH5" t="str">
        <f>IF(กลางภาค!L8="","",กลางภาค!L8)</f>
        <v/>
      </c>
      <c r="BI5" t="str">
        <f>IF(กลางภาค!M8="","",กลางภาค!M8)</f>
        <v/>
      </c>
      <c r="BJ5" t="str">
        <f>IF(ปลายภาค!D8="","",ปลายภาค!D8)</f>
        <v/>
      </c>
      <c r="BK5" t="str">
        <f>IF(ปลายภาค!E8="","",ปลายภาค!E8)</f>
        <v/>
      </c>
      <c r="BL5" t="str">
        <f>IF(ปลายภาค!F8="","",ปลายภาค!F8)</f>
        <v/>
      </c>
      <c r="BM5" t="str">
        <f>IF(ปลายภาค!G8="","",ปลายภาค!G8)</f>
        <v/>
      </c>
      <c r="BN5" t="str">
        <f>IF(ปลายภาค!H8="","",ปลายภาค!H8)</f>
        <v/>
      </c>
      <c r="BO5" t="str">
        <f>IF(ปลายภาค!I8="","",ปลายภาค!I8)</f>
        <v/>
      </c>
      <c r="BP5" t="str">
        <f>IF(ปลายภาค!J8="","",ปลายภาค!J8)</f>
        <v/>
      </c>
      <c r="BQ5" t="str">
        <f>IF(ปลายภาค!K8="","",ปลายภาค!K8)</f>
        <v/>
      </c>
      <c r="BR5" t="str">
        <f>IF(ปลายภาค!L8="","",ปลายภาค!L8)</f>
        <v/>
      </c>
      <c r="BS5" t="str">
        <f>IF(ปลายภาค!M8="","",ปลายภาค!M8)</f>
        <v/>
      </c>
      <c r="BT5" t="str">
        <f>IF(กลางภาค!N8="","",กลางภาค!N8)</f>
        <v/>
      </c>
      <c r="BU5" t="str">
        <f>IF(ปลายภาค!N8="","",ปลายภาค!N8)</f>
        <v/>
      </c>
      <c r="BV5" t="str">
        <f>IF(คุณลักษณะอันพึงประสงค์!X8="","",คุณลักษณะอันพึงประสงค์!X8)</f>
        <v/>
      </c>
      <c r="BW5" t="str">
        <f>IF(อ่านคิดวิเคราะห์!I8="","",อ่านคิดวิเคราะห์!I8)</f>
        <v/>
      </c>
      <c r="BX5" t="str">
        <f>IF(สมรรถนะ!N8="","",สมรรถนะ!N8)</f>
        <v/>
      </c>
      <c r="BY5" t="str">
        <f>IF(อ่านคิดวิเคราะห์!D8="","",อ่านคิดวิเคราะห์!D8)</f>
        <v/>
      </c>
      <c r="BZ5" t="str">
        <f>IF(อ่านคิดวิเคราะห์!E8="","",อ่านคิดวิเคราะห์!E8)</f>
        <v/>
      </c>
      <c r="CA5" t="str">
        <f>IF(อ่านคิดวิเคราะห์!F8="","",อ่านคิดวิเคราะห์!F8)</f>
        <v/>
      </c>
      <c r="CB5" t="str">
        <f>IF(อ่านคิดวิเคราะห์!G8="","",อ่านคิดวิเคราะห์!G8)</f>
        <v/>
      </c>
      <c r="CC5" t="str">
        <f>IF(อ่านคิดวิเคราะห์!H8="","",อ่านคิดวิเคราะห์!H8)</f>
        <v/>
      </c>
      <c r="CD5" t="str">
        <f>IF(สมรรถนะ!D8="","",สมรรถนะ!D8)</f>
        <v/>
      </c>
      <c r="CE5" t="str">
        <f>IF(สมรรถนะ!E8="","",สมรรถนะ!E8)</f>
        <v/>
      </c>
      <c r="CF5" t="str">
        <f>IF(สมรรถนะ!F8="","",สมรรถนะ!F8)</f>
        <v/>
      </c>
      <c r="CG5" t="str">
        <f>IF(สมรรถนะ!G8="","",สมรรถนะ!G8)</f>
        <v/>
      </c>
      <c r="CH5" t="str">
        <f>IF(สมรรถนะ!H8="","",สมรรถนะ!H8)</f>
        <v/>
      </c>
      <c r="CI5" t="str">
        <f>IF(สมรรถนะ!I8="","",สมรรถนะ!I8)</f>
        <v/>
      </c>
      <c r="CJ5" t="str">
        <f>IF(สมรรถนะ!J8="","",สมรรถนะ!J8)</f>
        <v/>
      </c>
      <c r="CK5" t="str">
        <f>IF(สมรรถนะ!K8="","",สมรรถนะ!K8)</f>
        <v/>
      </c>
      <c r="CL5" t="str">
        <f>IF(สมรรถนะ!L8="","",สมรรถนะ!L8)</f>
        <v/>
      </c>
      <c r="CM5" t="str">
        <f>IF(สมรรถนะ!M8="","",สมรรถนะ!M8)</f>
        <v/>
      </c>
      <c r="CN5" t="str">
        <f>IF(คุณลักษณะอันพึงประสงค์!N8="","",คุณลักษณะอันพึงประสงค์!N8)</f>
        <v/>
      </c>
      <c r="CO5" t="str">
        <f>IF(คุณลักษณะอันพึงประสงค์!O8="","",คุณลักษณะอันพึงประสงค์!O8)</f>
        <v/>
      </c>
      <c r="CP5" t="str">
        <f>IF(คุณลักษณะอันพึงประสงค์!P8="","",คุณลักษณะอันพึงประสงค์!P8)</f>
        <v/>
      </c>
      <c r="CQ5" t="str">
        <f>IF(คุณลักษณะอันพึงประสงค์!Q8="","",คุณลักษณะอันพึงประสงค์!Q8)</f>
        <v/>
      </c>
      <c r="CR5" t="str">
        <f>IF(คุณลักษณะอันพึงประสงค์!R8="","",คุณลักษณะอันพึงประสงค์!R8)</f>
        <v/>
      </c>
      <c r="CS5" t="str">
        <f>IF(คุณลักษณะอันพึงประสงค์!S8="","",คุณลักษณะอันพึงประสงค์!S8)</f>
        <v/>
      </c>
      <c r="CT5" t="str">
        <f>IF(คุณลักษณะอันพึงประสงค์!T8="","",คุณลักษณะอันพึงประสงค์!T8)</f>
        <v/>
      </c>
      <c r="CU5" t="str">
        <f>IF(คุณลักษณะอันพึงประสงค์!U8="","",คุณลักษณะอันพึงประสงค์!U8)</f>
        <v/>
      </c>
      <c r="CV5" t="str">
        <f>IF(คุณลักษณะอันพึงประสงค์!V8="","",คุณลักษณะอันพึงประสงค์!V8)</f>
        <v/>
      </c>
      <c r="CW5" t="str">
        <f>IF(คุณลักษณะอันพึงประสงค์!W8="","",คุณลักษณะอันพึงประสงค์!W8)</f>
        <v/>
      </c>
    </row>
    <row r="6" spans="1:101">
      <c r="A6" t="str">
        <f>IF(คะแนนเก็บ!B9="","",คะแนนเก็บ!B9)</f>
        <v/>
      </c>
      <c r="B6" t="str">
        <f>IF(คะแนนเก็บ!D9="","",คะแนนเก็บ!D9)</f>
        <v/>
      </c>
      <c r="C6" t="str">
        <f>IF(คะแนนเก็บ!E9="","",คะแนนเก็บ!E9)</f>
        <v/>
      </c>
      <c r="D6" t="str">
        <f>IF(คะแนนเก็บ!F9="","",คะแนนเก็บ!F9)</f>
        <v/>
      </c>
      <c r="E6" t="str">
        <f>IF(คะแนนเก็บ!G9="","",คะแนนเก็บ!G9)</f>
        <v/>
      </c>
      <c r="F6" t="str">
        <f>IF(คะแนนเก็บ!H9="","",คะแนนเก็บ!H9)</f>
        <v/>
      </c>
      <c r="G6" t="str">
        <f>IF(คะแนนเก็บ!I9="","",คะแนนเก็บ!I9)</f>
        <v/>
      </c>
      <c r="H6" t="str">
        <f>IF(คะแนนเก็บ!J9="","",คะแนนเก็บ!J9)</f>
        <v/>
      </c>
      <c r="I6" t="str">
        <f>IF(คะแนนเก็บ!K9="","",คะแนนเก็บ!K9)</f>
        <v/>
      </c>
      <c r="J6" t="str">
        <f>IF(คะแนนเก็บ!L9="","",คะแนนเก็บ!L9)</f>
        <v/>
      </c>
      <c r="K6" t="str">
        <f>IF(คะแนนเก็บ!M9="","",คะแนนเก็บ!M9)</f>
        <v/>
      </c>
      <c r="L6" t="str">
        <f>IF(คะแนนเก็บ!N9="","",คะแนนเก็บ!N9)</f>
        <v/>
      </c>
      <c r="M6" t="str">
        <f>IF(คะแนนเก็บ!O9="","",คะแนนเก็บ!O9)</f>
        <v/>
      </c>
      <c r="N6" t="str">
        <f>IF(คะแนนเก็บ!P9="","",คะแนนเก็บ!P9)</f>
        <v/>
      </c>
      <c r="O6" t="str">
        <f>IF(คะแนนเก็บ!Q9="","",คะแนนเก็บ!Q9)</f>
        <v/>
      </c>
      <c r="P6" t="str">
        <f>IF(คะแนนเก็บ!R9="","",คะแนนเก็บ!R9)</f>
        <v/>
      </c>
      <c r="Q6" t="str">
        <f>IF(คะแนนเก็บ!S9="","",คะแนนเก็บ!S9)</f>
        <v/>
      </c>
      <c r="R6" t="str">
        <f>IF(คะแนนเก็บ!T9="","",คะแนนเก็บ!T9)</f>
        <v/>
      </c>
      <c r="S6" t="str">
        <f>IF(คะแนนเก็บ!U9="","",คะแนนเก็บ!U9)</f>
        <v/>
      </c>
      <c r="T6" t="str">
        <f>IF(คะแนนเก็บ!V9="","",คะแนนเก็บ!V9)</f>
        <v/>
      </c>
      <c r="U6" t="str">
        <f>IF(คะแนนเก็บ!W9="","",คะแนนเก็บ!W9)</f>
        <v/>
      </c>
      <c r="V6" t="str">
        <f>IF(คะแนนเก็บหลังกลางภาค!D9="","",คะแนนเก็บหลังกลางภาค!D9)</f>
        <v/>
      </c>
      <c r="W6" t="str">
        <f>IF(คะแนนเก็บหลังกลางภาค!E9="","",คะแนนเก็บหลังกลางภาค!E9)</f>
        <v/>
      </c>
      <c r="X6" t="str">
        <f>IF(คะแนนเก็บหลังกลางภาค!F9="","",คะแนนเก็บหลังกลางภาค!F9)</f>
        <v/>
      </c>
      <c r="Y6" t="str">
        <f>IF(คะแนนเก็บหลังกลางภาค!G9="","",คะแนนเก็บหลังกลางภาค!G9)</f>
        <v/>
      </c>
      <c r="Z6" t="str">
        <f>IF(คะแนนเก็บหลังกลางภาค!H9="","",คะแนนเก็บหลังกลางภาค!H9)</f>
        <v/>
      </c>
      <c r="AA6" t="str">
        <f>IF(คะแนนเก็บหลังกลางภาค!I9="","",คะแนนเก็บหลังกลางภาค!I9)</f>
        <v/>
      </c>
      <c r="AB6" t="str">
        <f>IF(คะแนนเก็บหลังกลางภาค!J9="","",คะแนนเก็บหลังกลางภาค!J9)</f>
        <v/>
      </c>
      <c r="AC6" t="str">
        <f>IF(คะแนนเก็บหลังกลางภาค!K9="","",คะแนนเก็บหลังกลางภาค!K9)</f>
        <v/>
      </c>
      <c r="AD6" t="str">
        <f>IF(คะแนนเก็บหลังกลางภาค!L9="","",คะแนนเก็บหลังกลางภาค!L9)</f>
        <v/>
      </c>
      <c r="AE6" t="str">
        <f>IF(คะแนนเก็บหลังกลางภาค!M9="","",คะแนนเก็บหลังกลางภาค!M9)</f>
        <v/>
      </c>
      <c r="AF6" t="str">
        <f>IF(คะแนนเก็บหลังกลางภาค!N9="","",คะแนนเก็บหลังกลางภาค!N9)</f>
        <v/>
      </c>
      <c r="AG6" t="str">
        <f>IF(คะแนนเก็บหลังกลางภาค!O9="","",คะแนนเก็บหลังกลางภาค!O9)</f>
        <v/>
      </c>
      <c r="AH6" t="str">
        <f>IF(คะแนนเก็บหลังกลางภาค!P9="","",คะแนนเก็บหลังกลางภาค!P9)</f>
        <v/>
      </c>
      <c r="AI6" t="str">
        <f>IF(คะแนนเก็บหลังกลางภาค!Q9="","",คะแนนเก็บหลังกลางภาค!Q9)</f>
        <v/>
      </c>
      <c r="AJ6" t="str">
        <f>IF(คะแนนเก็บหลังกลางภาค!R9="","",คะแนนเก็บหลังกลางภาค!R9)</f>
        <v/>
      </c>
      <c r="AK6" t="str">
        <f>IF(คะแนนเก็บหลังกลางภาค!S9="","",คะแนนเก็บหลังกลางภาค!S9)</f>
        <v/>
      </c>
      <c r="AL6" t="str">
        <f>IF(คะแนนเก็บหลังกลางภาค!T9="","",คะแนนเก็บหลังกลางภาค!T9)</f>
        <v/>
      </c>
      <c r="AM6" t="str">
        <f>IF(คะแนนเก็บหลังกลางภาค!U9="","",คะแนนเก็บหลังกลางภาค!U9)</f>
        <v/>
      </c>
      <c r="AN6" t="str">
        <f>IF(คะแนนเก็บหลังกลางภาค!V9="","",คะแนนเก็บหลังกลางภาค!V9)</f>
        <v/>
      </c>
      <c r="AO6" t="str">
        <f>IF(คะแนนเก็บหลังกลางภาค!W9="","",คะแนนเก็บหลังกลางภาค!W9)</f>
        <v/>
      </c>
      <c r="AP6" t="str">
        <f>IF(คุณลักษณะอันพึงประสงค์!D9="","",คุณลักษณะอันพึงประสงค์!D9)</f>
        <v/>
      </c>
      <c r="AQ6" t="str">
        <f>IF(คุณลักษณะอันพึงประสงค์!E9="","",คุณลักษณะอันพึงประสงค์!E9)</f>
        <v/>
      </c>
      <c r="AR6" t="str">
        <f>IF(คุณลักษณะอันพึงประสงค์!F9="","",คุณลักษณะอันพึงประสงค์!F9)</f>
        <v/>
      </c>
      <c r="AS6" t="str">
        <f>IF(คุณลักษณะอันพึงประสงค์!G9="","",คุณลักษณะอันพึงประสงค์!G9)</f>
        <v/>
      </c>
      <c r="AT6" t="str">
        <f>IF(คุณลักษณะอันพึงประสงค์!H9="","",คุณลักษณะอันพึงประสงค์!H9)</f>
        <v/>
      </c>
      <c r="AU6" t="str">
        <f>IF(คุณลักษณะอันพึงประสงค์!I9="","",คุณลักษณะอันพึงประสงค์!I9)</f>
        <v/>
      </c>
      <c r="AV6" t="str">
        <f>IF(คุณลักษณะอันพึงประสงค์!J9="","",คุณลักษณะอันพึงประสงค์!J9)</f>
        <v/>
      </c>
      <c r="AW6" t="str">
        <f>IF(คุณลักษณะอันพึงประสงค์!K9="","",คุณลักษณะอันพึงประสงค์!K9)</f>
        <v/>
      </c>
      <c r="AX6" t="str">
        <f>IF(คุณลักษณะอันพึงประสงค์!L9="","",คุณลักษณะอันพึงประสงค์!L9)</f>
        <v/>
      </c>
      <c r="AY6" t="str">
        <f>IF(คุณลักษณะอันพึงประสงค์!M9="","",คุณลักษณะอันพึงประสงค์!M9)</f>
        <v/>
      </c>
      <c r="AZ6" t="str">
        <f>IF(กลางภาค!D9="","",กลางภาค!D9)</f>
        <v/>
      </c>
      <c r="BA6" t="str">
        <f>IF(กลางภาค!E9="","",กลางภาค!E9)</f>
        <v/>
      </c>
      <c r="BB6" t="str">
        <f>IF(กลางภาค!F9="","",กลางภาค!F9)</f>
        <v/>
      </c>
      <c r="BC6" t="str">
        <f>IF(กลางภาค!G9="","",กลางภาค!G9)</f>
        <v/>
      </c>
      <c r="BD6" t="str">
        <f>IF(กลางภาค!H9="","",กลางภาค!H9)</f>
        <v/>
      </c>
      <c r="BE6" t="str">
        <f>IF(กลางภาค!I9="","",กลางภาค!I9)</f>
        <v/>
      </c>
      <c r="BF6" t="str">
        <f>IF(กลางภาค!J9="","",กลางภาค!J9)</f>
        <v/>
      </c>
      <c r="BG6" t="str">
        <f>IF(กลางภาค!K9="","",กลางภาค!K9)</f>
        <v/>
      </c>
      <c r="BH6" t="str">
        <f>IF(กลางภาค!L9="","",กลางภาค!L9)</f>
        <v/>
      </c>
      <c r="BI6" t="str">
        <f>IF(กลางภาค!M9="","",กลางภาค!M9)</f>
        <v/>
      </c>
      <c r="BJ6" t="str">
        <f>IF(ปลายภาค!D9="","",ปลายภาค!D9)</f>
        <v/>
      </c>
      <c r="BK6" t="str">
        <f>IF(ปลายภาค!E9="","",ปลายภาค!E9)</f>
        <v/>
      </c>
      <c r="BL6" t="str">
        <f>IF(ปลายภาค!F9="","",ปลายภาค!F9)</f>
        <v/>
      </c>
      <c r="BM6" t="str">
        <f>IF(ปลายภาค!G9="","",ปลายภาค!G9)</f>
        <v/>
      </c>
      <c r="BN6" t="str">
        <f>IF(ปลายภาค!H9="","",ปลายภาค!H9)</f>
        <v/>
      </c>
      <c r="BO6" t="str">
        <f>IF(ปลายภาค!I9="","",ปลายภาค!I9)</f>
        <v/>
      </c>
      <c r="BP6" t="str">
        <f>IF(ปลายภาค!J9="","",ปลายภาค!J9)</f>
        <v/>
      </c>
      <c r="BQ6" t="str">
        <f>IF(ปลายภาค!K9="","",ปลายภาค!K9)</f>
        <v/>
      </c>
      <c r="BR6" t="str">
        <f>IF(ปลายภาค!L9="","",ปลายภาค!L9)</f>
        <v/>
      </c>
      <c r="BS6" t="str">
        <f>IF(ปลายภาค!M9="","",ปลายภาค!M9)</f>
        <v/>
      </c>
      <c r="BT6" t="str">
        <f>IF(กลางภาค!N9="","",กลางภาค!N9)</f>
        <v/>
      </c>
      <c r="BU6" t="str">
        <f>IF(ปลายภาค!N9="","",ปลายภาค!N9)</f>
        <v/>
      </c>
      <c r="BV6" t="str">
        <f>IF(คุณลักษณะอันพึงประสงค์!X9="","",คุณลักษณะอันพึงประสงค์!X9)</f>
        <v/>
      </c>
      <c r="BW6" t="str">
        <f>IF(อ่านคิดวิเคราะห์!I9="","",อ่านคิดวิเคราะห์!I9)</f>
        <v/>
      </c>
      <c r="BX6" t="str">
        <f>IF(สมรรถนะ!N9="","",สมรรถนะ!N9)</f>
        <v/>
      </c>
      <c r="BY6" t="str">
        <f>IF(อ่านคิดวิเคราะห์!D9="","",อ่านคิดวิเคราะห์!D9)</f>
        <v/>
      </c>
      <c r="BZ6" t="str">
        <f>IF(อ่านคิดวิเคราะห์!E9="","",อ่านคิดวิเคราะห์!E9)</f>
        <v/>
      </c>
      <c r="CA6" t="str">
        <f>IF(อ่านคิดวิเคราะห์!F9="","",อ่านคิดวิเคราะห์!F9)</f>
        <v/>
      </c>
      <c r="CB6" t="str">
        <f>IF(อ่านคิดวิเคราะห์!G9="","",อ่านคิดวิเคราะห์!G9)</f>
        <v/>
      </c>
      <c r="CC6" t="str">
        <f>IF(อ่านคิดวิเคราะห์!H9="","",อ่านคิดวิเคราะห์!H9)</f>
        <v/>
      </c>
      <c r="CD6" t="str">
        <f>IF(สมรรถนะ!D9="","",สมรรถนะ!D9)</f>
        <v/>
      </c>
      <c r="CE6" t="str">
        <f>IF(สมรรถนะ!E9="","",สมรรถนะ!E9)</f>
        <v/>
      </c>
      <c r="CF6" t="str">
        <f>IF(สมรรถนะ!F9="","",สมรรถนะ!F9)</f>
        <v/>
      </c>
      <c r="CG6" t="str">
        <f>IF(สมรรถนะ!G9="","",สมรรถนะ!G9)</f>
        <v/>
      </c>
      <c r="CH6" t="str">
        <f>IF(สมรรถนะ!H9="","",สมรรถนะ!H9)</f>
        <v/>
      </c>
      <c r="CI6" t="str">
        <f>IF(สมรรถนะ!I9="","",สมรรถนะ!I9)</f>
        <v/>
      </c>
      <c r="CJ6" t="str">
        <f>IF(สมรรถนะ!J9="","",สมรรถนะ!J9)</f>
        <v/>
      </c>
      <c r="CK6" t="str">
        <f>IF(สมรรถนะ!K9="","",สมรรถนะ!K9)</f>
        <v/>
      </c>
      <c r="CL6" t="str">
        <f>IF(สมรรถนะ!L9="","",สมรรถนะ!L9)</f>
        <v/>
      </c>
      <c r="CM6" t="str">
        <f>IF(สมรรถนะ!M9="","",สมรรถนะ!M9)</f>
        <v/>
      </c>
      <c r="CN6" t="str">
        <f>IF(คุณลักษณะอันพึงประสงค์!N9="","",คุณลักษณะอันพึงประสงค์!N9)</f>
        <v/>
      </c>
      <c r="CO6" t="str">
        <f>IF(คุณลักษณะอันพึงประสงค์!O9="","",คุณลักษณะอันพึงประสงค์!O9)</f>
        <v/>
      </c>
      <c r="CP6" t="str">
        <f>IF(คุณลักษณะอันพึงประสงค์!P9="","",คุณลักษณะอันพึงประสงค์!P9)</f>
        <v/>
      </c>
      <c r="CQ6" t="str">
        <f>IF(คุณลักษณะอันพึงประสงค์!Q9="","",คุณลักษณะอันพึงประสงค์!Q9)</f>
        <v/>
      </c>
      <c r="CR6" t="str">
        <f>IF(คุณลักษณะอันพึงประสงค์!R9="","",คุณลักษณะอันพึงประสงค์!R9)</f>
        <v/>
      </c>
      <c r="CS6" t="str">
        <f>IF(คุณลักษณะอันพึงประสงค์!S9="","",คุณลักษณะอันพึงประสงค์!S9)</f>
        <v/>
      </c>
      <c r="CT6" t="str">
        <f>IF(คุณลักษณะอันพึงประสงค์!T9="","",คุณลักษณะอันพึงประสงค์!T9)</f>
        <v/>
      </c>
      <c r="CU6" t="str">
        <f>IF(คุณลักษณะอันพึงประสงค์!U9="","",คุณลักษณะอันพึงประสงค์!U9)</f>
        <v/>
      </c>
      <c r="CV6" t="str">
        <f>IF(คุณลักษณะอันพึงประสงค์!V9="","",คุณลักษณะอันพึงประสงค์!V9)</f>
        <v/>
      </c>
      <c r="CW6" t="str">
        <f>IF(คุณลักษณะอันพึงประสงค์!W9="","",คุณลักษณะอันพึงประสงค์!W9)</f>
        <v/>
      </c>
    </row>
    <row r="7" spans="1:101">
      <c r="A7" t="str">
        <f>IF(คะแนนเก็บ!B10="","",คะแนนเก็บ!B10)</f>
        <v/>
      </c>
      <c r="B7" t="str">
        <f>IF(คะแนนเก็บ!D10="","",คะแนนเก็บ!D10)</f>
        <v/>
      </c>
      <c r="C7" t="str">
        <f>IF(คะแนนเก็บ!E10="","",คะแนนเก็บ!E10)</f>
        <v/>
      </c>
      <c r="D7" t="str">
        <f>IF(คะแนนเก็บ!F10="","",คะแนนเก็บ!F10)</f>
        <v/>
      </c>
      <c r="E7" t="str">
        <f>IF(คะแนนเก็บ!G10="","",คะแนนเก็บ!G10)</f>
        <v/>
      </c>
      <c r="F7" t="str">
        <f>IF(คะแนนเก็บ!H10="","",คะแนนเก็บ!H10)</f>
        <v/>
      </c>
      <c r="G7" t="str">
        <f>IF(คะแนนเก็บ!I10="","",คะแนนเก็บ!I10)</f>
        <v/>
      </c>
      <c r="H7" t="str">
        <f>IF(คะแนนเก็บ!J10="","",คะแนนเก็บ!J10)</f>
        <v/>
      </c>
      <c r="I7" t="str">
        <f>IF(คะแนนเก็บ!K10="","",คะแนนเก็บ!K10)</f>
        <v/>
      </c>
      <c r="J7" t="str">
        <f>IF(คะแนนเก็บ!L10="","",คะแนนเก็บ!L10)</f>
        <v/>
      </c>
      <c r="K7" t="str">
        <f>IF(คะแนนเก็บ!M10="","",คะแนนเก็บ!M10)</f>
        <v/>
      </c>
      <c r="L7" t="str">
        <f>IF(คะแนนเก็บ!N10="","",คะแนนเก็บ!N10)</f>
        <v/>
      </c>
      <c r="M7" t="str">
        <f>IF(คะแนนเก็บ!O10="","",คะแนนเก็บ!O10)</f>
        <v/>
      </c>
      <c r="N7" t="str">
        <f>IF(คะแนนเก็บ!P10="","",คะแนนเก็บ!P10)</f>
        <v/>
      </c>
      <c r="O7" t="str">
        <f>IF(คะแนนเก็บ!Q10="","",คะแนนเก็บ!Q10)</f>
        <v/>
      </c>
      <c r="P7" t="str">
        <f>IF(คะแนนเก็บ!R10="","",คะแนนเก็บ!R10)</f>
        <v/>
      </c>
      <c r="Q7" t="str">
        <f>IF(คะแนนเก็บ!S10="","",คะแนนเก็บ!S10)</f>
        <v/>
      </c>
      <c r="R7" t="str">
        <f>IF(คะแนนเก็บ!T10="","",คะแนนเก็บ!T10)</f>
        <v/>
      </c>
      <c r="S7" t="str">
        <f>IF(คะแนนเก็บ!U10="","",คะแนนเก็บ!U10)</f>
        <v/>
      </c>
      <c r="T7" t="str">
        <f>IF(คะแนนเก็บ!V10="","",คะแนนเก็บ!V10)</f>
        <v/>
      </c>
      <c r="U7" t="str">
        <f>IF(คะแนนเก็บ!W10="","",คะแนนเก็บ!W10)</f>
        <v/>
      </c>
      <c r="V7" t="str">
        <f>IF(คะแนนเก็บหลังกลางภาค!D10="","",คะแนนเก็บหลังกลางภาค!D10)</f>
        <v/>
      </c>
      <c r="W7" t="str">
        <f>IF(คะแนนเก็บหลังกลางภาค!E10="","",คะแนนเก็บหลังกลางภาค!E10)</f>
        <v/>
      </c>
      <c r="X7" t="str">
        <f>IF(คะแนนเก็บหลังกลางภาค!F10="","",คะแนนเก็บหลังกลางภาค!F10)</f>
        <v/>
      </c>
      <c r="Y7" t="str">
        <f>IF(คะแนนเก็บหลังกลางภาค!G10="","",คะแนนเก็บหลังกลางภาค!G10)</f>
        <v/>
      </c>
      <c r="Z7" t="str">
        <f>IF(คะแนนเก็บหลังกลางภาค!H10="","",คะแนนเก็บหลังกลางภาค!H10)</f>
        <v/>
      </c>
      <c r="AA7" t="str">
        <f>IF(คะแนนเก็บหลังกลางภาค!I10="","",คะแนนเก็บหลังกลางภาค!I10)</f>
        <v/>
      </c>
      <c r="AB7" t="str">
        <f>IF(คะแนนเก็บหลังกลางภาค!J10="","",คะแนนเก็บหลังกลางภาค!J10)</f>
        <v/>
      </c>
      <c r="AC7" t="str">
        <f>IF(คะแนนเก็บหลังกลางภาค!K10="","",คะแนนเก็บหลังกลางภาค!K10)</f>
        <v/>
      </c>
      <c r="AD7" t="str">
        <f>IF(คะแนนเก็บหลังกลางภาค!L10="","",คะแนนเก็บหลังกลางภาค!L10)</f>
        <v/>
      </c>
      <c r="AE7" t="str">
        <f>IF(คะแนนเก็บหลังกลางภาค!M10="","",คะแนนเก็บหลังกลางภาค!M10)</f>
        <v/>
      </c>
      <c r="AF7" t="str">
        <f>IF(คะแนนเก็บหลังกลางภาค!N10="","",คะแนนเก็บหลังกลางภาค!N10)</f>
        <v/>
      </c>
      <c r="AG7" t="str">
        <f>IF(คะแนนเก็บหลังกลางภาค!O10="","",คะแนนเก็บหลังกลางภาค!O10)</f>
        <v/>
      </c>
      <c r="AH7" t="str">
        <f>IF(คะแนนเก็บหลังกลางภาค!P10="","",คะแนนเก็บหลังกลางภาค!P10)</f>
        <v/>
      </c>
      <c r="AI7" t="str">
        <f>IF(คะแนนเก็บหลังกลางภาค!Q10="","",คะแนนเก็บหลังกลางภาค!Q10)</f>
        <v/>
      </c>
      <c r="AJ7" t="str">
        <f>IF(คะแนนเก็บหลังกลางภาค!R10="","",คะแนนเก็บหลังกลางภาค!R10)</f>
        <v/>
      </c>
      <c r="AK7" t="str">
        <f>IF(คะแนนเก็บหลังกลางภาค!S10="","",คะแนนเก็บหลังกลางภาค!S10)</f>
        <v/>
      </c>
      <c r="AL7" t="str">
        <f>IF(คะแนนเก็บหลังกลางภาค!T10="","",คะแนนเก็บหลังกลางภาค!T10)</f>
        <v/>
      </c>
      <c r="AM7" t="str">
        <f>IF(คะแนนเก็บหลังกลางภาค!U10="","",คะแนนเก็บหลังกลางภาค!U10)</f>
        <v/>
      </c>
      <c r="AN7" t="str">
        <f>IF(คะแนนเก็บหลังกลางภาค!V10="","",คะแนนเก็บหลังกลางภาค!V10)</f>
        <v/>
      </c>
      <c r="AO7" t="str">
        <f>IF(คะแนนเก็บหลังกลางภาค!W10="","",คะแนนเก็บหลังกลางภาค!W10)</f>
        <v/>
      </c>
      <c r="AP7" t="str">
        <f>IF(คุณลักษณะอันพึงประสงค์!D10="","",คุณลักษณะอันพึงประสงค์!D10)</f>
        <v/>
      </c>
      <c r="AQ7" t="str">
        <f>IF(คุณลักษณะอันพึงประสงค์!E10="","",คุณลักษณะอันพึงประสงค์!E10)</f>
        <v/>
      </c>
      <c r="AR7" t="str">
        <f>IF(คุณลักษณะอันพึงประสงค์!F10="","",คุณลักษณะอันพึงประสงค์!F10)</f>
        <v/>
      </c>
      <c r="AS7" t="str">
        <f>IF(คุณลักษณะอันพึงประสงค์!G10="","",คุณลักษณะอันพึงประสงค์!G10)</f>
        <v/>
      </c>
      <c r="AT7" t="str">
        <f>IF(คุณลักษณะอันพึงประสงค์!H10="","",คุณลักษณะอันพึงประสงค์!H10)</f>
        <v/>
      </c>
      <c r="AU7" t="str">
        <f>IF(คุณลักษณะอันพึงประสงค์!I10="","",คุณลักษณะอันพึงประสงค์!I10)</f>
        <v/>
      </c>
      <c r="AV7" t="str">
        <f>IF(คุณลักษณะอันพึงประสงค์!J10="","",คุณลักษณะอันพึงประสงค์!J10)</f>
        <v/>
      </c>
      <c r="AW7" t="str">
        <f>IF(คุณลักษณะอันพึงประสงค์!K10="","",คุณลักษณะอันพึงประสงค์!K10)</f>
        <v/>
      </c>
      <c r="AX7" t="str">
        <f>IF(คุณลักษณะอันพึงประสงค์!L10="","",คุณลักษณะอันพึงประสงค์!L10)</f>
        <v/>
      </c>
      <c r="AY7" t="str">
        <f>IF(คุณลักษณะอันพึงประสงค์!M10="","",คุณลักษณะอันพึงประสงค์!M10)</f>
        <v/>
      </c>
      <c r="AZ7" t="str">
        <f>IF(กลางภาค!D10="","",กลางภาค!D10)</f>
        <v/>
      </c>
      <c r="BA7" t="str">
        <f>IF(กลางภาค!E10="","",กลางภาค!E10)</f>
        <v/>
      </c>
      <c r="BB7" t="str">
        <f>IF(กลางภาค!F10="","",กลางภาค!F10)</f>
        <v/>
      </c>
      <c r="BC7" t="str">
        <f>IF(กลางภาค!G10="","",กลางภาค!G10)</f>
        <v/>
      </c>
      <c r="BD7" t="str">
        <f>IF(กลางภาค!H10="","",กลางภาค!H10)</f>
        <v/>
      </c>
      <c r="BE7" t="str">
        <f>IF(กลางภาค!I10="","",กลางภาค!I10)</f>
        <v/>
      </c>
      <c r="BF7" t="str">
        <f>IF(กลางภาค!J10="","",กลางภาค!J10)</f>
        <v/>
      </c>
      <c r="BG7" t="str">
        <f>IF(กลางภาค!K10="","",กลางภาค!K10)</f>
        <v/>
      </c>
      <c r="BH7" t="str">
        <f>IF(กลางภาค!L10="","",กลางภาค!L10)</f>
        <v/>
      </c>
      <c r="BI7" t="str">
        <f>IF(กลางภาค!M10="","",กลางภาค!M10)</f>
        <v/>
      </c>
      <c r="BJ7" t="str">
        <f>IF(ปลายภาค!D10="","",ปลายภาค!D10)</f>
        <v/>
      </c>
      <c r="BK7" t="str">
        <f>IF(ปลายภาค!E10="","",ปลายภาค!E10)</f>
        <v/>
      </c>
      <c r="BL7" t="str">
        <f>IF(ปลายภาค!F10="","",ปลายภาค!F10)</f>
        <v/>
      </c>
      <c r="BM7" t="str">
        <f>IF(ปลายภาค!G10="","",ปลายภาค!G10)</f>
        <v/>
      </c>
      <c r="BN7" t="str">
        <f>IF(ปลายภาค!H10="","",ปลายภาค!H10)</f>
        <v/>
      </c>
      <c r="BO7" t="str">
        <f>IF(ปลายภาค!I10="","",ปลายภาค!I10)</f>
        <v/>
      </c>
      <c r="BP7" t="str">
        <f>IF(ปลายภาค!J10="","",ปลายภาค!J10)</f>
        <v/>
      </c>
      <c r="BQ7" t="str">
        <f>IF(ปลายภาค!K10="","",ปลายภาค!K10)</f>
        <v/>
      </c>
      <c r="BR7" t="str">
        <f>IF(ปลายภาค!L10="","",ปลายภาค!L10)</f>
        <v/>
      </c>
      <c r="BS7" t="str">
        <f>IF(ปลายภาค!M10="","",ปลายภาค!M10)</f>
        <v/>
      </c>
      <c r="BT7" t="str">
        <f>IF(กลางภาค!N10="","",กลางภาค!N10)</f>
        <v/>
      </c>
      <c r="BU7" t="str">
        <f>IF(ปลายภาค!N10="","",ปลายภาค!N10)</f>
        <v/>
      </c>
      <c r="BV7" t="str">
        <f>IF(คุณลักษณะอันพึงประสงค์!X10="","",คุณลักษณะอันพึงประสงค์!X10)</f>
        <v/>
      </c>
      <c r="BW7" t="str">
        <f>IF(อ่านคิดวิเคราะห์!I10="","",อ่านคิดวิเคราะห์!I10)</f>
        <v/>
      </c>
      <c r="BX7" t="str">
        <f>IF(สมรรถนะ!N10="","",สมรรถนะ!N10)</f>
        <v/>
      </c>
      <c r="BY7" t="str">
        <f>IF(อ่านคิดวิเคราะห์!D10="","",อ่านคิดวิเคราะห์!D10)</f>
        <v/>
      </c>
      <c r="BZ7" t="str">
        <f>IF(อ่านคิดวิเคราะห์!E10="","",อ่านคิดวิเคราะห์!E10)</f>
        <v/>
      </c>
      <c r="CA7" t="str">
        <f>IF(อ่านคิดวิเคราะห์!F10="","",อ่านคิดวิเคราะห์!F10)</f>
        <v/>
      </c>
      <c r="CB7" t="str">
        <f>IF(อ่านคิดวิเคราะห์!G10="","",อ่านคิดวิเคราะห์!G10)</f>
        <v/>
      </c>
      <c r="CC7" t="str">
        <f>IF(อ่านคิดวิเคราะห์!H10="","",อ่านคิดวิเคราะห์!H10)</f>
        <v/>
      </c>
      <c r="CD7" t="str">
        <f>IF(สมรรถนะ!D10="","",สมรรถนะ!D10)</f>
        <v/>
      </c>
      <c r="CE7" t="str">
        <f>IF(สมรรถนะ!E10="","",สมรรถนะ!E10)</f>
        <v/>
      </c>
      <c r="CF7" t="str">
        <f>IF(สมรรถนะ!F10="","",สมรรถนะ!F10)</f>
        <v/>
      </c>
      <c r="CG7" t="str">
        <f>IF(สมรรถนะ!G10="","",สมรรถนะ!G10)</f>
        <v/>
      </c>
      <c r="CH7" t="str">
        <f>IF(สมรรถนะ!H10="","",สมรรถนะ!H10)</f>
        <v/>
      </c>
      <c r="CI7" t="str">
        <f>IF(สมรรถนะ!I10="","",สมรรถนะ!I10)</f>
        <v/>
      </c>
      <c r="CJ7" t="str">
        <f>IF(สมรรถนะ!J10="","",สมรรถนะ!J10)</f>
        <v/>
      </c>
      <c r="CK7" t="str">
        <f>IF(สมรรถนะ!K10="","",สมรรถนะ!K10)</f>
        <v/>
      </c>
      <c r="CL7" t="str">
        <f>IF(สมรรถนะ!L10="","",สมรรถนะ!L10)</f>
        <v/>
      </c>
      <c r="CM7" t="str">
        <f>IF(สมรรถนะ!M10="","",สมรรถนะ!M10)</f>
        <v/>
      </c>
      <c r="CN7" t="str">
        <f>IF(คุณลักษณะอันพึงประสงค์!N10="","",คุณลักษณะอันพึงประสงค์!N10)</f>
        <v/>
      </c>
      <c r="CO7" t="str">
        <f>IF(คุณลักษณะอันพึงประสงค์!O10="","",คุณลักษณะอันพึงประสงค์!O10)</f>
        <v/>
      </c>
      <c r="CP7" t="str">
        <f>IF(คุณลักษณะอันพึงประสงค์!P10="","",คุณลักษณะอันพึงประสงค์!P10)</f>
        <v/>
      </c>
      <c r="CQ7" t="str">
        <f>IF(คุณลักษณะอันพึงประสงค์!Q10="","",คุณลักษณะอันพึงประสงค์!Q10)</f>
        <v/>
      </c>
      <c r="CR7" t="str">
        <f>IF(คุณลักษณะอันพึงประสงค์!R10="","",คุณลักษณะอันพึงประสงค์!R10)</f>
        <v/>
      </c>
      <c r="CS7" t="str">
        <f>IF(คุณลักษณะอันพึงประสงค์!S10="","",คุณลักษณะอันพึงประสงค์!S10)</f>
        <v/>
      </c>
      <c r="CT7" t="str">
        <f>IF(คุณลักษณะอันพึงประสงค์!T10="","",คุณลักษณะอันพึงประสงค์!T10)</f>
        <v/>
      </c>
      <c r="CU7" t="str">
        <f>IF(คุณลักษณะอันพึงประสงค์!U10="","",คุณลักษณะอันพึงประสงค์!U10)</f>
        <v/>
      </c>
      <c r="CV7" t="str">
        <f>IF(คุณลักษณะอันพึงประสงค์!V10="","",คุณลักษณะอันพึงประสงค์!V10)</f>
        <v/>
      </c>
      <c r="CW7" t="str">
        <f>IF(คุณลักษณะอันพึงประสงค์!W10="","",คุณลักษณะอันพึงประสงค์!W10)</f>
        <v/>
      </c>
    </row>
    <row r="8" spans="1:101">
      <c r="A8" t="str">
        <f>IF(คะแนนเก็บ!B11="","",คะแนนเก็บ!B11)</f>
        <v/>
      </c>
      <c r="B8" t="str">
        <f>IF(คะแนนเก็บ!D11="","",คะแนนเก็บ!D11)</f>
        <v/>
      </c>
      <c r="C8" t="str">
        <f>IF(คะแนนเก็บ!E11="","",คะแนนเก็บ!E11)</f>
        <v/>
      </c>
      <c r="D8" t="str">
        <f>IF(คะแนนเก็บ!F11="","",คะแนนเก็บ!F11)</f>
        <v/>
      </c>
      <c r="E8" t="str">
        <f>IF(คะแนนเก็บ!G11="","",คะแนนเก็บ!G11)</f>
        <v/>
      </c>
      <c r="F8" t="str">
        <f>IF(คะแนนเก็บ!H11="","",คะแนนเก็บ!H11)</f>
        <v/>
      </c>
      <c r="G8" t="str">
        <f>IF(คะแนนเก็บ!I11="","",คะแนนเก็บ!I11)</f>
        <v/>
      </c>
      <c r="H8" t="str">
        <f>IF(คะแนนเก็บ!J11="","",คะแนนเก็บ!J11)</f>
        <v/>
      </c>
      <c r="I8" t="str">
        <f>IF(คะแนนเก็บ!K11="","",คะแนนเก็บ!K11)</f>
        <v/>
      </c>
      <c r="J8" t="str">
        <f>IF(คะแนนเก็บ!L11="","",คะแนนเก็บ!L11)</f>
        <v/>
      </c>
      <c r="K8" t="str">
        <f>IF(คะแนนเก็บ!M11="","",คะแนนเก็บ!M11)</f>
        <v/>
      </c>
      <c r="L8" t="str">
        <f>IF(คะแนนเก็บ!N11="","",คะแนนเก็บ!N11)</f>
        <v/>
      </c>
      <c r="M8" t="str">
        <f>IF(คะแนนเก็บ!O11="","",คะแนนเก็บ!O11)</f>
        <v/>
      </c>
      <c r="N8" t="str">
        <f>IF(คะแนนเก็บ!P11="","",คะแนนเก็บ!P11)</f>
        <v/>
      </c>
      <c r="O8" t="str">
        <f>IF(คะแนนเก็บ!Q11="","",คะแนนเก็บ!Q11)</f>
        <v/>
      </c>
      <c r="P8" t="str">
        <f>IF(คะแนนเก็บ!R11="","",คะแนนเก็บ!R11)</f>
        <v/>
      </c>
      <c r="Q8" t="str">
        <f>IF(คะแนนเก็บ!S11="","",คะแนนเก็บ!S11)</f>
        <v/>
      </c>
      <c r="R8" t="str">
        <f>IF(คะแนนเก็บ!T11="","",คะแนนเก็บ!T11)</f>
        <v/>
      </c>
      <c r="S8" t="str">
        <f>IF(คะแนนเก็บ!U11="","",คะแนนเก็บ!U11)</f>
        <v/>
      </c>
      <c r="T8" t="str">
        <f>IF(คะแนนเก็บ!V11="","",คะแนนเก็บ!V11)</f>
        <v/>
      </c>
      <c r="U8" t="str">
        <f>IF(คะแนนเก็บ!W11="","",คะแนนเก็บ!W11)</f>
        <v/>
      </c>
      <c r="V8" t="str">
        <f>IF(คะแนนเก็บหลังกลางภาค!D11="","",คะแนนเก็บหลังกลางภาค!D11)</f>
        <v/>
      </c>
      <c r="W8" t="str">
        <f>IF(คะแนนเก็บหลังกลางภาค!E11="","",คะแนนเก็บหลังกลางภาค!E11)</f>
        <v/>
      </c>
      <c r="X8" t="str">
        <f>IF(คะแนนเก็บหลังกลางภาค!F11="","",คะแนนเก็บหลังกลางภาค!F11)</f>
        <v/>
      </c>
      <c r="Y8" t="str">
        <f>IF(คะแนนเก็บหลังกลางภาค!G11="","",คะแนนเก็บหลังกลางภาค!G11)</f>
        <v/>
      </c>
      <c r="Z8" t="str">
        <f>IF(คะแนนเก็บหลังกลางภาค!H11="","",คะแนนเก็บหลังกลางภาค!H11)</f>
        <v/>
      </c>
      <c r="AA8" t="str">
        <f>IF(คะแนนเก็บหลังกลางภาค!I11="","",คะแนนเก็บหลังกลางภาค!I11)</f>
        <v/>
      </c>
      <c r="AB8" t="str">
        <f>IF(คะแนนเก็บหลังกลางภาค!J11="","",คะแนนเก็บหลังกลางภาค!J11)</f>
        <v/>
      </c>
      <c r="AC8" t="str">
        <f>IF(คะแนนเก็บหลังกลางภาค!K11="","",คะแนนเก็บหลังกลางภาค!K11)</f>
        <v/>
      </c>
      <c r="AD8" t="str">
        <f>IF(คะแนนเก็บหลังกลางภาค!L11="","",คะแนนเก็บหลังกลางภาค!L11)</f>
        <v/>
      </c>
      <c r="AE8" t="str">
        <f>IF(คะแนนเก็บหลังกลางภาค!M11="","",คะแนนเก็บหลังกลางภาค!M11)</f>
        <v/>
      </c>
      <c r="AF8" t="str">
        <f>IF(คะแนนเก็บหลังกลางภาค!N11="","",คะแนนเก็บหลังกลางภาค!N11)</f>
        <v/>
      </c>
      <c r="AG8" t="str">
        <f>IF(คะแนนเก็บหลังกลางภาค!O11="","",คะแนนเก็บหลังกลางภาค!O11)</f>
        <v/>
      </c>
      <c r="AH8" t="str">
        <f>IF(คะแนนเก็บหลังกลางภาค!P11="","",คะแนนเก็บหลังกลางภาค!P11)</f>
        <v/>
      </c>
      <c r="AI8" t="str">
        <f>IF(คะแนนเก็บหลังกลางภาค!Q11="","",คะแนนเก็บหลังกลางภาค!Q11)</f>
        <v/>
      </c>
      <c r="AJ8" t="str">
        <f>IF(คะแนนเก็บหลังกลางภาค!R11="","",คะแนนเก็บหลังกลางภาค!R11)</f>
        <v/>
      </c>
      <c r="AK8" t="str">
        <f>IF(คะแนนเก็บหลังกลางภาค!S11="","",คะแนนเก็บหลังกลางภาค!S11)</f>
        <v/>
      </c>
      <c r="AL8" t="str">
        <f>IF(คะแนนเก็บหลังกลางภาค!T11="","",คะแนนเก็บหลังกลางภาค!T11)</f>
        <v/>
      </c>
      <c r="AM8" t="str">
        <f>IF(คะแนนเก็บหลังกลางภาค!U11="","",คะแนนเก็บหลังกลางภาค!U11)</f>
        <v/>
      </c>
      <c r="AN8" t="str">
        <f>IF(คะแนนเก็บหลังกลางภาค!V11="","",คะแนนเก็บหลังกลางภาค!V11)</f>
        <v/>
      </c>
      <c r="AO8" t="str">
        <f>IF(คะแนนเก็บหลังกลางภาค!W11="","",คะแนนเก็บหลังกลางภาค!W11)</f>
        <v/>
      </c>
      <c r="AP8" t="str">
        <f>IF(คุณลักษณะอันพึงประสงค์!D11="","",คุณลักษณะอันพึงประสงค์!D11)</f>
        <v/>
      </c>
      <c r="AQ8" t="str">
        <f>IF(คุณลักษณะอันพึงประสงค์!E11="","",คุณลักษณะอันพึงประสงค์!E11)</f>
        <v/>
      </c>
      <c r="AR8" t="str">
        <f>IF(คุณลักษณะอันพึงประสงค์!F11="","",คุณลักษณะอันพึงประสงค์!F11)</f>
        <v/>
      </c>
      <c r="AS8" t="str">
        <f>IF(คุณลักษณะอันพึงประสงค์!G11="","",คุณลักษณะอันพึงประสงค์!G11)</f>
        <v/>
      </c>
      <c r="AT8" t="str">
        <f>IF(คุณลักษณะอันพึงประสงค์!H11="","",คุณลักษณะอันพึงประสงค์!H11)</f>
        <v/>
      </c>
      <c r="AU8" t="str">
        <f>IF(คุณลักษณะอันพึงประสงค์!I11="","",คุณลักษณะอันพึงประสงค์!I11)</f>
        <v/>
      </c>
      <c r="AV8" t="str">
        <f>IF(คุณลักษณะอันพึงประสงค์!J11="","",คุณลักษณะอันพึงประสงค์!J11)</f>
        <v/>
      </c>
      <c r="AW8" t="str">
        <f>IF(คุณลักษณะอันพึงประสงค์!K11="","",คุณลักษณะอันพึงประสงค์!K11)</f>
        <v/>
      </c>
      <c r="AX8" t="str">
        <f>IF(คุณลักษณะอันพึงประสงค์!L11="","",คุณลักษณะอันพึงประสงค์!L11)</f>
        <v/>
      </c>
      <c r="AY8" t="str">
        <f>IF(คุณลักษณะอันพึงประสงค์!M11="","",คุณลักษณะอันพึงประสงค์!M11)</f>
        <v/>
      </c>
      <c r="AZ8" t="str">
        <f>IF(กลางภาค!D11="","",กลางภาค!D11)</f>
        <v/>
      </c>
      <c r="BA8" t="str">
        <f>IF(กลางภาค!E11="","",กลางภาค!E11)</f>
        <v/>
      </c>
      <c r="BB8" t="str">
        <f>IF(กลางภาค!F11="","",กลางภาค!F11)</f>
        <v/>
      </c>
      <c r="BC8" t="str">
        <f>IF(กลางภาค!G11="","",กลางภาค!G11)</f>
        <v/>
      </c>
      <c r="BD8" t="str">
        <f>IF(กลางภาค!H11="","",กลางภาค!H11)</f>
        <v/>
      </c>
      <c r="BE8" t="str">
        <f>IF(กลางภาค!I11="","",กลางภาค!I11)</f>
        <v/>
      </c>
      <c r="BF8" t="str">
        <f>IF(กลางภาค!J11="","",กลางภาค!J11)</f>
        <v/>
      </c>
      <c r="BG8" t="str">
        <f>IF(กลางภาค!K11="","",กลางภาค!K11)</f>
        <v/>
      </c>
      <c r="BH8" t="str">
        <f>IF(กลางภาค!L11="","",กลางภาค!L11)</f>
        <v/>
      </c>
      <c r="BI8" t="str">
        <f>IF(กลางภาค!M11="","",กลางภาค!M11)</f>
        <v/>
      </c>
      <c r="BJ8" t="str">
        <f>IF(ปลายภาค!D11="","",ปลายภาค!D11)</f>
        <v/>
      </c>
      <c r="BK8" t="str">
        <f>IF(ปลายภาค!E11="","",ปลายภาค!E11)</f>
        <v/>
      </c>
      <c r="BL8" t="str">
        <f>IF(ปลายภาค!F11="","",ปลายภาค!F11)</f>
        <v/>
      </c>
      <c r="BM8" t="str">
        <f>IF(ปลายภาค!G11="","",ปลายภาค!G11)</f>
        <v/>
      </c>
      <c r="BN8" t="str">
        <f>IF(ปลายภาค!H11="","",ปลายภาค!H11)</f>
        <v/>
      </c>
      <c r="BO8" t="str">
        <f>IF(ปลายภาค!I11="","",ปลายภาค!I11)</f>
        <v/>
      </c>
      <c r="BP8" t="str">
        <f>IF(ปลายภาค!J11="","",ปลายภาค!J11)</f>
        <v/>
      </c>
      <c r="BQ8" t="str">
        <f>IF(ปลายภาค!K11="","",ปลายภาค!K11)</f>
        <v/>
      </c>
      <c r="BR8" t="str">
        <f>IF(ปลายภาค!L11="","",ปลายภาค!L11)</f>
        <v/>
      </c>
      <c r="BS8" t="str">
        <f>IF(ปลายภาค!M11="","",ปลายภาค!M11)</f>
        <v/>
      </c>
      <c r="BT8" t="str">
        <f>IF(กลางภาค!N11="","",กลางภาค!N11)</f>
        <v/>
      </c>
      <c r="BU8" t="str">
        <f>IF(ปลายภาค!N11="","",ปลายภาค!N11)</f>
        <v/>
      </c>
      <c r="BV8" t="str">
        <f>IF(คุณลักษณะอันพึงประสงค์!X11="","",คุณลักษณะอันพึงประสงค์!X11)</f>
        <v/>
      </c>
      <c r="BW8" t="str">
        <f>IF(อ่านคิดวิเคราะห์!I11="","",อ่านคิดวิเคราะห์!I11)</f>
        <v/>
      </c>
      <c r="BX8" t="str">
        <f>IF(สมรรถนะ!N11="","",สมรรถนะ!N11)</f>
        <v/>
      </c>
      <c r="BY8" t="str">
        <f>IF(อ่านคิดวิเคราะห์!D11="","",อ่านคิดวิเคราะห์!D11)</f>
        <v/>
      </c>
      <c r="BZ8" t="str">
        <f>IF(อ่านคิดวิเคราะห์!E11="","",อ่านคิดวิเคราะห์!E11)</f>
        <v/>
      </c>
      <c r="CA8" t="str">
        <f>IF(อ่านคิดวิเคราะห์!F11="","",อ่านคิดวิเคราะห์!F11)</f>
        <v/>
      </c>
      <c r="CB8" t="str">
        <f>IF(อ่านคิดวิเคราะห์!G11="","",อ่านคิดวิเคราะห์!G11)</f>
        <v/>
      </c>
      <c r="CC8" t="str">
        <f>IF(อ่านคิดวิเคราะห์!H11="","",อ่านคิดวิเคราะห์!H11)</f>
        <v/>
      </c>
      <c r="CD8" t="str">
        <f>IF(สมรรถนะ!D11="","",สมรรถนะ!D11)</f>
        <v/>
      </c>
      <c r="CE8" t="str">
        <f>IF(สมรรถนะ!E11="","",สมรรถนะ!E11)</f>
        <v/>
      </c>
      <c r="CF8" t="str">
        <f>IF(สมรรถนะ!F11="","",สมรรถนะ!F11)</f>
        <v/>
      </c>
      <c r="CG8" t="str">
        <f>IF(สมรรถนะ!G11="","",สมรรถนะ!G11)</f>
        <v/>
      </c>
      <c r="CH8" t="str">
        <f>IF(สมรรถนะ!H11="","",สมรรถนะ!H11)</f>
        <v/>
      </c>
      <c r="CI8" t="str">
        <f>IF(สมรรถนะ!I11="","",สมรรถนะ!I11)</f>
        <v/>
      </c>
      <c r="CJ8" t="str">
        <f>IF(สมรรถนะ!J11="","",สมรรถนะ!J11)</f>
        <v/>
      </c>
      <c r="CK8" t="str">
        <f>IF(สมรรถนะ!K11="","",สมรรถนะ!K11)</f>
        <v/>
      </c>
      <c r="CL8" t="str">
        <f>IF(สมรรถนะ!L11="","",สมรรถนะ!L11)</f>
        <v/>
      </c>
      <c r="CM8" t="str">
        <f>IF(สมรรถนะ!M11="","",สมรรถนะ!M11)</f>
        <v/>
      </c>
      <c r="CN8" t="str">
        <f>IF(คุณลักษณะอันพึงประสงค์!N11="","",คุณลักษณะอันพึงประสงค์!N11)</f>
        <v/>
      </c>
      <c r="CO8" t="str">
        <f>IF(คุณลักษณะอันพึงประสงค์!O11="","",คุณลักษณะอันพึงประสงค์!O11)</f>
        <v/>
      </c>
      <c r="CP8" t="str">
        <f>IF(คุณลักษณะอันพึงประสงค์!P11="","",คุณลักษณะอันพึงประสงค์!P11)</f>
        <v/>
      </c>
      <c r="CQ8" t="str">
        <f>IF(คุณลักษณะอันพึงประสงค์!Q11="","",คุณลักษณะอันพึงประสงค์!Q11)</f>
        <v/>
      </c>
      <c r="CR8" t="str">
        <f>IF(คุณลักษณะอันพึงประสงค์!R11="","",คุณลักษณะอันพึงประสงค์!R11)</f>
        <v/>
      </c>
      <c r="CS8" t="str">
        <f>IF(คุณลักษณะอันพึงประสงค์!S11="","",คุณลักษณะอันพึงประสงค์!S11)</f>
        <v/>
      </c>
      <c r="CT8" t="str">
        <f>IF(คุณลักษณะอันพึงประสงค์!T11="","",คุณลักษณะอันพึงประสงค์!T11)</f>
        <v/>
      </c>
      <c r="CU8" t="str">
        <f>IF(คุณลักษณะอันพึงประสงค์!U11="","",คุณลักษณะอันพึงประสงค์!U11)</f>
        <v/>
      </c>
      <c r="CV8" t="str">
        <f>IF(คุณลักษณะอันพึงประสงค์!V11="","",คุณลักษณะอันพึงประสงค์!V11)</f>
        <v/>
      </c>
      <c r="CW8" t="str">
        <f>IF(คุณลักษณะอันพึงประสงค์!W11="","",คุณลักษณะอันพึงประสงค์!W11)</f>
        <v/>
      </c>
    </row>
    <row r="9" spans="1:101">
      <c r="A9" t="str">
        <f>IF(คะแนนเก็บ!B12="","",คะแนนเก็บ!B12)</f>
        <v/>
      </c>
      <c r="B9" t="str">
        <f>IF(คะแนนเก็บ!D12="","",คะแนนเก็บ!D12)</f>
        <v/>
      </c>
      <c r="C9" t="str">
        <f>IF(คะแนนเก็บ!E12="","",คะแนนเก็บ!E12)</f>
        <v/>
      </c>
      <c r="D9" t="str">
        <f>IF(คะแนนเก็บ!F12="","",คะแนนเก็บ!F12)</f>
        <v/>
      </c>
      <c r="E9" t="str">
        <f>IF(คะแนนเก็บ!G12="","",คะแนนเก็บ!G12)</f>
        <v/>
      </c>
      <c r="F9" t="str">
        <f>IF(คะแนนเก็บ!H12="","",คะแนนเก็บ!H12)</f>
        <v/>
      </c>
      <c r="G9" t="str">
        <f>IF(คะแนนเก็บ!I12="","",คะแนนเก็บ!I12)</f>
        <v/>
      </c>
      <c r="H9" t="str">
        <f>IF(คะแนนเก็บ!J12="","",คะแนนเก็บ!J12)</f>
        <v/>
      </c>
      <c r="I9" t="str">
        <f>IF(คะแนนเก็บ!K12="","",คะแนนเก็บ!K12)</f>
        <v/>
      </c>
      <c r="J9" t="str">
        <f>IF(คะแนนเก็บ!L12="","",คะแนนเก็บ!L12)</f>
        <v/>
      </c>
      <c r="K9" t="str">
        <f>IF(คะแนนเก็บ!M12="","",คะแนนเก็บ!M12)</f>
        <v/>
      </c>
      <c r="L9" t="str">
        <f>IF(คะแนนเก็บ!N12="","",คะแนนเก็บ!N12)</f>
        <v/>
      </c>
      <c r="M9" t="str">
        <f>IF(คะแนนเก็บ!O12="","",คะแนนเก็บ!O12)</f>
        <v/>
      </c>
      <c r="N9" t="str">
        <f>IF(คะแนนเก็บ!P12="","",คะแนนเก็บ!P12)</f>
        <v/>
      </c>
      <c r="O9" t="str">
        <f>IF(คะแนนเก็บ!Q12="","",คะแนนเก็บ!Q12)</f>
        <v/>
      </c>
      <c r="P9" t="str">
        <f>IF(คะแนนเก็บ!R12="","",คะแนนเก็บ!R12)</f>
        <v/>
      </c>
      <c r="Q9" t="str">
        <f>IF(คะแนนเก็บ!S12="","",คะแนนเก็บ!S12)</f>
        <v/>
      </c>
      <c r="R9" t="str">
        <f>IF(คะแนนเก็บ!T12="","",คะแนนเก็บ!T12)</f>
        <v/>
      </c>
      <c r="S9" t="str">
        <f>IF(คะแนนเก็บ!U12="","",คะแนนเก็บ!U12)</f>
        <v/>
      </c>
      <c r="T9" t="str">
        <f>IF(คะแนนเก็บ!V12="","",คะแนนเก็บ!V12)</f>
        <v/>
      </c>
      <c r="U9" t="str">
        <f>IF(คะแนนเก็บ!W12="","",คะแนนเก็บ!W12)</f>
        <v/>
      </c>
      <c r="V9" t="str">
        <f>IF(คะแนนเก็บหลังกลางภาค!D12="","",คะแนนเก็บหลังกลางภาค!D12)</f>
        <v/>
      </c>
      <c r="W9" t="str">
        <f>IF(คะแนนเก็บหลังกลางภาค!E12="","",คะแนนเก็บหลังกลางภาค!E12)</f>
        <v/>
      </c>
      <c r="X9" t="str">
        <f>IF(คะแนนเก็บหลังกลางภาค!F12="","",คะแนนเก็บหลังกลางภาค!F12)</f>
        <v/>
      </c>
      <c r="Y9" t="str">
        <f>IF(คะแนนเก็บหลังกลางภาค!G12="","",คะแนนเก็บหลังกลางภาค!G12)</f>
        <v/>
      </c>
      <c r="Z9" t="str">
        <f>IF(คะแนนเก็บหลังกลางภาค!H12="","",คะแนนเก็บหลังกลางภาค!H12)</f>
        <v/>
      </c>
      <c r="AA9" t="str">
        <f>IF(คะแนนเก็บหลังกลางภาค!I12="","",คะแนนเก็บหลังกลางภาค!I12)</f>
        <v/>
      </c>
      <c r="AB9" t="str">
        <f>IF(คะแนนเก็บหลังกลางภาค!J12="","",คะแนนเก็บหลังกลางภาค!J12)</f>
        <v/>
      </c>
      <c r="AC9" t="str">
        <f>IF(คะแนนเก็บหลังกลางภาค!K12="","",คะแนนเก็บหลังกลางภาค!K12)</f>
        <v/>
      </c>
      <c r="AD9" t="str">
        <f>IF(คะแนนเก็บหลังกลางภาค!L12="","",คะแนนเก็บหลังกลางภาค!L12)</f>
        <v/>
      </c>
      <c r="AE9" t="str">
        <f>IF(คะแนนเก็บหลังกลางภาค!M12="","",คะแนนเก็บหลังกลางภาค!M12)</f>
        <v/>
      </c>
      <c r="AF9" t="str">
        <f>IF(คะแนนเก็บหลังกลางภาค!N12="","",คะแนนเก็บหลังกลางภาค!N12)</f>
        <v/>
      </c>
      <c r="AG9" t="str">
        <f>IF(คะแนนเก็บหลังกลางภาค!O12="","",คะแนนเก็บหลังกลางภาค!O12)</f>
        <v/>
      </c>
      <c r="AH9" t="str">
        <f>IF(คะแนนเก็บหลังกลางภาค!P12="","",คะแนนเก็บหลังกลางภาค!P12)</f>
        <v/>
      </c>
      <c r="AI9" t="str">
        <f>IF(คะแนนเก็บหลังกลางภาค!Q12="","",คะแนนเก็บหลังกลางภาค!Q12)</f>
        <v/>
      </c>
      <c r="AJ9" t="str">
        <f>IF(คะแนนเก็บหลังกลางภาค!R12="","",คะแนนเก็บหลังกลางภาค!R12)</f>
        <v/>
      </c>
      <c r="AK9" t="str">
        <f>IF(คะแนนเก็บหลังกลางภาค!S12="","",คะแนนเก็บหลังกลางภาค!S12)</f>
        <v/>
      </c>
      <c r="AL9" t="str">
        <f>IF(คะแนนเก็บหลังกลางภาค!T12="","",คะแนนเก็บหลังกลางภาค!T12)</f>
        <v/>
      </c>
      <c r="AM9" t="str">
        <f>IF(คะแนนเก็บหลังกลางภาค!U12="","",คะแนนเก็บหลังกลางภาค!U12)</f>
        <v/>
      </c>
      <c r="AN9" t="str">
        <f>IF(คะแนนเก็บหลังกลางภาค!V12="","",คะแนนเก็บหลังกลางภาค!V12)</f>
        <v/>
      </c>
      <c r="AO9" t="str">
        <f>IF(คะแนนเก็บหลังกลางภาค!W12="","",คะแนนเก็บหลังกลางภาค!W12)</f>
        <v/>
      </c>
      <c r="AP9" t="str">
        <f>IF(คุณลักษณะอันพึงประสงค์!D12="","",คุณลักษณะอันพึงประสงค์!D12)</f>
        <v/>
      </c>
      <c r="AQ9" t="str">
        <f>IF(คุณลักษณะอันพึงประสงค์!E12="","",คุณลักษณะอันพึงประสงค์!E12)</f>
        <v/>
      </c>
      <c r="AR9" t="str">
        <f>IF(คุณลักษณะอันพึงประสงค์!F12="","",คุณลักษณะอันพึงประสงค์!F12)</f>
        <v/>
      </c>
      <c r="AS9" t="str">
        <f>IF(คุณลักษณะอันพึงประสงค์!G12="","",คุณลักษณะอันพึงประสงค์!G12)</f>
        <v/>
      </c>
      <c r="AT9" t="str">
        <f>IF(คุณลักษณะอันพึงประสงค์!H12="","",คุณลักษณะอันพึงประสงค์!H12)</f>
        <v/>
      </c>
      <c r="AU9" t="str">
        <f>IF(คุณลักษณะอันพึงประสงค์!I12="","",คุณลักษณะอันพึงประสงค์!I12)</f>
        <v/>
      </c>
      <c r="AV9" t="str">
        <f>IF(คุณลักษณะอันพึงประสงค์!J12="","",คุณลักษณะอันพึงประสงค์!J12)</f>
        <v/>
      </c>
      <c r="AW9" t="str">
        <f>IF(คุณลักษณะอันพึงประสงค์!K12="","",คุณลักษณะอันพึงประสงค์!K12)</f>
        <v/>
      </c>
      <c r="AX9" t="str">
        <f>IF(คุณลักษณะอันพึงประสงค์!L12="","",คุณลักษณะอันพึงประสงค์!L12)</f>
        <v/>
      </c>
      <c r="AY9" t="str">
        <f>IF(คุณลักษณะอันพึงประสงค์!M12="","",คุณลักษณะอันพึงประสงค์!M12)</f>
        <v/>
      </c>
      <c r="AZ9" t="str">
        <f>IF(กลางภาค!D12="","",กลางภาค!D12)</f>
        <v/>
      </c>
      <c r="BA9" t="str">
        <f>IF(กลางภาค!E12="","",กลางภาค!E12)</f>
        <v/>
      </c>
      <c r="BB9" t="str">
        <f>IF(กลางภาค!F12="","",กลางภาค!F12)</f>
        <v/>
      </c>
      <c r="BC9" t="str">
        <f>IF(กลางภาค!G12="","",กลางภาค!G12)</f>
        <v/>
      </c>
      <c r="BD9" t="str">
        <f>IF(กลางภาค!H12="","",กลางภาค!H12)</f>
        <v/>
      </c>
      <c r="BE9" t="str">
        <f>IF(กลางภาค!I12="","",กลางภาค!I12)</f>
        <v/>
      </c>
      <c r="BF9" t="str">
        <f>IF(กลางภาค!J12="","",กลางภาค!J12)</f>
        <v/>
      </c>
      <c r="BG9" t="str">
        <f>IF(กลางภาค!K12="","",กลางภาค!K12)</f>
        <v/>
      </c>
      <c r="BH9" t="str">
        <f>IF(กลางภาค!L12="","",กลางภาค!L12)</f>
        <v/>
      </c>
      <c r="BI9" t="str">
        <f>IF(กลางภาค!M12="","",กลางภาค!M12)</f>
        <v/>
      </c>
      <c r="BJ9" t="str">
        <f>IF(ปลายภาค!D12="","",ปลายภาค!D12)</f>
        <v/>
      </c>
      <c r="BK9" t="str">
        <f>IF(ปลายภาค!E12="","",ปลายภาค!E12)</f>
        <v/>
      </c>
      <c r="BL9" t="str">
        <f>IF(ปลายภาค!F12="","",ปลายภาค!F12)</f>
        <v/>
      </c>
      <c r="BM9" t="str">
        <f>IF(ปลายภาค!G12="","",ปลายภาค!G12)</f>
        <v/>
      </c>
      <c r="BN9" t="str">
        <f>IF(ปลายภาค!H12="","",ปลายภาค!H12)</f>
        <v/>
      </c>
      <c r="BO9" t="str">
        <f>IF(ปลายภาค!I12="","",ปลายภาค!I12)</f>
        <v/>
      </c>
      <c r="BP9" t="str">
        <f>IF(ปลายภาค!J12="","",ปลายภาค!J12)</f>
        <v/>
      </c>
      <c r="BQ9" t="str">
        <f>IF(ปลายภาค!K12="","",ปลายภาค!K12)</f>
        <v/>
      </c>
      <c r="BR9" t="str">
        <f>IF(ปลายภาค!L12="","",ปลายภาค!L12)</f>
        <v/>
      </c>
      <c r="BS9" t="str">
        <f>IF(ปลายภาค!M12="","",ปลายภาค!M12)</f>
        <v/>
      </c>
      <c r="BT9" t="str">
        <f>IF(กลางภาค!N12="","",กลางภาค!N12)</f>
        <v/>
      </c>
      <c r="BU9" t="str">
        <f>IF(ปลายภาค!N12="","",ปลายภาค!N12)</f>
        <v/>
      </c>
      <c r="BV9" t="str">
        <f>IF(คุณลักษณะอันพึงประสงค์!X12="","",คุณลักษณะอันพึงประสงค์!X12)</f>
        <v/>
      </c>
      <c r="BW9" t="str">
        <f>IF(อ่านคิดวิเคราะห์!I12="","",อ่านคิดวิเคราะห์!I12)</f>
        <v/>
      </c>
      <c r="BX9" t="str">
        <f>IF(สมรรถนะ!N12="","",สมรรถนะ!N12)</f>
        <v/>
      </c>
      <c r="BY9" t="str">
        <f>IF(อ่านคิดวิเคราะห์!D12="","",อ่านคิดวิเคราะห์!D12)</f>
        <v/>
      </c>
      <c r="BZ9" t="str">
        <f>IF(อ่านคิดวิเคราะห์!E12="","",อ่านคิดวิเคราะห์!E12)</f>
        <v/>
      </c>
      <c r="CA9" t="str">
        <f>IF(อ่านคิดวิเคราะห์!F12="","",อ่านคิดวิเคราะห์!F12)</f>
        <v/>
      </c>
      <c r="CB9" t="str">
        <f>IF(อ่านคิดวิเคราะห์!G12="","",อ่านคิดวิเคราะห์!G12)</f>
        <v/>
      </c>
      <c r="CC9" t="str">
        <f>IF(อ่านคิดวิเคราะห์!H12="","",อ่านคิดวิเคราะห์!H12)</f>
        <v/>
      </c>
      <c r="CD9" t="str">
        <f>IF(สมรรถนะ!D12="","",สมรรถนะ!D12)</f>
        <v/>
      </c>
      <c r="CE9" t="str">
        <f>IF(สมรรถนะ!E12="","",สมรรถนะ!E12)</f>
        <v/>
      </c>
      <c r="CF9" t="str">
        <f>IF(สมรรถนะ!F12="","",สมรรถนะ!F12)</f>
        <v/>
      </c>
      <c r="CG9" t="str">
        <f>IF(สมรรถนะ!G12="","",สมรรถนะ!G12)</f>
        <v/>
      </c>
      <c r="CH9" t="str">
        <f>IF(สมรรถนะ!H12="","",สมรรถนะ!H12)</f>
        <v/>
      </c>
      <c r="CI9" t="str">
        <f>IF(สมรรถนะ!I12="","",สมรรถนะ!I12)</f>
        <v/>
      </c>
      <c r="CJ9" t="str">
        <f>IF(สมรรถนะ!J12="","",สมรรถนะ!J12)</f>
        <v/>
      </c>
      <c r="CK9" t="str">
        <f>IF(สมรรถนะ!K12="","",สมรรถนะ!K12)</f>
        <v/>
      </c>
      <c r="CL9" t="str">
        <f>IF(สมรรถนะ!L12="","",สมรรถนะ!L12)</f>
        <v/>
      </c>
      <c r="CM9" t="str">
        <f>IF(สมรรถนะ!M12="","",สมรรถนะ!M12)</f>
        <v/>
      </c>
      <c r="CN9" t="str">
        <f>IF(คุณลักษณะอันพึงประสงค์!N12="","",คุณลักษณะอันพึงประสงค์!N12)</f>
        <v/>
      </c>
      <c r="CO9" t="str">
        <f>IF(คุณลักษณะอันพึงประสงค์!O12="","",คุณลักษณะอันพึงประสงค์!O12)</f>
        <v/>
      </c>
      <c r="CP9" t="str">
        <f>IF(คุณลักษณะอันพึงประสงค์!P12="","",คุณลักษณะอันพึงประสงค์!P12)</f>
        <v/>
      </c>
      <c r="CQ9" t="str">
        <f>IF(คุณลักษณะอันพึงประสงค์!Q12="","",คุณลักษณะอันพึงประสงค์!Q12)</f>
        <v/>
      </c>
      <c r="CR9" t="str">
        <f>IF(คุณลักษณะอันพึงประสงค์!R12="","",คุณลักษณะอันพึงประสงค์!R12)</f>
        <v/>
      </c>
      <c r="CS9" t="str">
        <f>IF(คุณลักษณะอันพึงประสงค์!S12="","",คุณลักษณะอันพึงประสงค์!S12)</f>
        <v/>
      </c>
      <c r="CT9" t="str">
        <f>IF(คุณลักษณะอันพึงประสงค์!T12="","",คุณลักษณะอันพึงประสงค์!T12)</f>
        <v/>
      </c>
      <c r="CU9" t="str">
        <f>IF(คุณลักษณะอันพึงประสงค์!U12="","",คุณลักษณะอันพึงประสงค์!U12)</f>
        <v/>
      </c>
      <c r="CV9" t="str">
        <f>IF(คุณลักษณะอันพึงประสงค์!V12="","",คุณลักษณะอันพึงประสงค์!V12)</f>
        <v/>
      </c>
      <c r="CW9" t="str">
        <f>IF(คุณลักษณะอันพึงประสงค์!W12="","",คุณลักษณะอันพึงประสงค์!W12)</f>
        <v/>
      </c>
    </row>
    <row r="10" spans="1:101">
      <c r="A10" t="str">
        <f>IF(คะแนนเก็บ!B13="","",คะแนนเก็บ!B13)</f>
        <v/>
      </c>
      <c r="B10" t="str">
        <f>IF(คะแนนเก็บ!D13="","",คะแนนเก็บ!D13)</f>
        <v/>
      </c>
      <c r="C10" t="str">
        <f>IF(คะแนนเก็บ!E13="","",คะแนนเก็บ!E13)</f>
        <v/>
      </c>
      <c r="D10" t="str">
        <f>IF(คะแนนเก็บ!F13="","",คะแนนเก็บ!F13)</f>
        <v/>
      </c>
      <c r="E10" t="str">
        <f>IF(คะแนนเก็บ!G13="","",คะแนนเก็บ!G13)</f>
        <v/>
      </c>
      <c r="F10" t="str">
        <f>IF(คะแนนเก็บ!H13="","",คะแนนเก็บ!H13)</f>
        <v/>
      </c>
      <c r="G10" t="str">
        <f>IF(คะแนนเก็บ!I13="","",คะแนนเก็บ!I13)</f>
        <v/>
      </c>
      <c r="H10" t="str">
        <f>IF(คะแนนเก็บ!J13="","",คะแนนเก็บ!J13)</f>
        <v/>
      </c>
      <c r="I10" t="str">
        <f>IF(คะแนนเก็บ!K13="","",คะแนนเก็บ!K13)</f>
        <v/>
      </c>
      <c r="J10" t="str">
        <f>IF(คะแนนเก็บ!L13="","",คะแนนเก็บ!L13)</f>
        <v/>
      </c>
      <c r="K10" t="str">
        <f>IF(คะแนนเก็บ!M13="","",คะแนนเก็บ!M13)</f>
        <v/>
      </c>
      <c r="L10" t="str">
        <f>IF(คะแนนเก็บ!N13="","",คะแนนเก็บ!N13)</f>
        <v/>
      </c>
      <c r="M10" t="str">
        <f>IF(คะแนนเก็บ!O13="","",คะแนนเก็บ!O13)</f>
        <v/>
      </c>
      <c r="N10" t="str">
        <f>IF(คะแนนเก็บ!P13="","",คะแนนเก็บ!P13)</f>
        <v/>
      </c>
      <c r="O10" t="str">
        <f>IF(คะแนนเก็บ!Q13="","",คะแนนเก็บ!Q13)</f>
        <v/>
      </c>
      <c r="P10" t="str">
        <f>IF(คะแนนเก็บ!R13="","",คะแนนเก็บ!R13)</f>
        <v/>
      </c>
      <c r="Q10" t="str">
        <f>IF(คะแนนเก็บ!S13="","",คะแนนเก็บ!S13)</f>
        <v/>
      </c>
      <c r="R10" t="str">
        <f>IF(คะแนนเก็บ!T13="","",คะแนนเก็บ!T13)</f>
        <v/>
      </c>
      <c r="S10" t="str">
        <f>IF(คะแนนเก็บ!U13="","",คะแนนเก็บ!U13)</f>
        <v/>
      </c>
      <c r="T10" t="str">
        <f>IF(คะแนนเก็บ!V13="","",คะแนนเก็บ!V13)</f>
        <v/>
      </c>
      <c r="U10" t="str">
        <f>IF(คะแนนเก็บ!W13="","",คะแนนเก็บ!W13)</f>
        <v/>
      </c>
      <c r="V10" t="str">
        <f>IF(คะแนนเก็บหลังกลางภาค!D13="","",คะแนนเก็บหลังกลางภาค!D13)</f>
        <v/>
      </c>
      <c r="W10" t="str">
        <f>IF(คะแนนเก็บหลังกลางภาค!E13="","",คะแนนเก็บหลังกลางภาค!E13)</f>
        <v/>
      </c>
      <c r="X10" t="str">
        <f>IF(คะแนนเก็บหลังกลางภาค!F13="","",คะแนนเก็บหลังกลางภาค!F13)</f>
        <v/>
      </c>
      <c r="Y10" t="str">
        <f>IF(คะแนนเก็บหลังกลางภาค!G13="","",คะแนนเก็บหลังกลางภาค!G13)</f>
        <v/>
      </c>
      <c r="Z10" t="str">
        <f>IF(คะแนนเก็บหลังกลางภาค!H13="","",คะแนนเก็บหลังกลางภาค!H13)</f>
        <v/>
      </c>
      <c r="AA10" t="str">
        <f>IF(คะแนนเก็บหลังกลางภาค!I13="","",คะแนนเก็บหลังกลางภาค!I13)</f>
        <v/>
      </c>
      <c r="AB10" t="str">
        <f>IF(คะแนนเก็บหลังกลางภาค!J13="","",คะแนนเก็บหลังกลางภาค!J13)</f>
        <v/>
      </c>
      <c r="AC10" t="str">
        <f>IF(คะแนนเก็บหลังกลางภาค!K13="","",คะแนนเก็บหลังกลางภาค!K13)</f>
        <v/>
      </c>
      <c r="AD10" t="str">
        <f>IF(คะแนนเก็บหลังกลางภาค!L13="","",คะแนนเก็บหลังกลางภาค!L13)</f>
        <v/>
      </c>
      <c r="AE10" t="str">
        <f>IF(คะแนนเก็บหลังกลางภาค!M13="","",คะแนนเก็บหลังกลางภาค!M13)</f>
        <v/>
      </c>
      <c r="AF10" t="str">
        <f>IF(คะแนนเก็บหลังกลางภาค!N13="","",คะแนนเก็บหลังกลางภาค!N13)</f>
        <v/>
      </c>
      <c r="AG10" t="str">
        <f>IF(คะแนนเก็บหลังกลางภาค!O13="","",คะแนนเก็บหลังกลางภาค!O13)</f>
        <v/>
      </c>
      <c r="AH10" t="str">
        <f>IF(คะแนนเก็บหลังกลางภาค!P13="","",คะแนนเก็บหลังกลางภาค!P13)</f>
        <v/>
      </c>
      <c r="AI10" t="str">
        <f>IF(คะแนนเก็บหลังกลางภาค!Q13="","",คะแนนเก็บหลังกลางภาค!Q13)</f>
        <v/>
      </c>
      <c r="AJ10" t="str">
        <f>IF(คะแนนเก็บหลังกลางภาค!R13="","",คะแนนเก็บหลังกลางภาค!R13)</f>
        <v/>
      </c>
      <c r="AK10" t="str">
        <f>IF(คะแนนเก็บหลังกลางภาค!S13="","",คะแนนเก็บหลังกลางภาค!S13)</f>
        <v/>
      </c>
      <c r="AL10" t="str">
        <f>IF(คะแนนเก็บหลังกลางภาค!T13="","",คะแนนเก็บหลังกลางภาค!T13)</f>
        <v/>
      </c>
      <c r="AM10" t="str">
        <f>IF(คะแนนเก็บหลังกลางภาค!U13="","",คะแนนเก็บหลังกลางภาค!U13)</f>
        <v/>
      </c>
      <c r="AN10" t="str">
        <f>IF(คะแนนเก็บหลังกลางภาค!V13="","",คะแนนเก็บหลังกลางภาค!V13)</f>
        <v/>
      </c>
      <c r="AO10" t="str">
        <f>IF(คะแนนเก็บหลังกลางภาค!W13="","",คะแนนเก็บหลังกลางภาค!W13)</f>
        <v/>
      </c>
      <c r="AP10" t="str">
        <f>IF(คุณลักษณะอันพึงประสงค์!D13="","",คุณลักษณะอันพึงประสงค์!D13)</f>
        <v/>
      </c>
      <c r="AQ10" t="str">
        <f>IF(คุณลักษณะอันพึงประสงค์!E13="","",คุณลักษณะอันพึงประสงค์!E13)</f>
        <v/>
      </c>
      <c r="AR10" t="str">
        <f>IF(คุณลักษณะอันพึงประสงค์!F13="","",คุณลักษณะอันพึงประสงค์!F13)</f>
        <v/>
      </c>
      <c r="AS10" t="str">
        <f>IF(คุณลักษณะอันพึงประสงค์!G13="","",คุณลักษณะอันพึงประสงค์!G13)</f>
        <v/>
      </c>
      <c r="AT10" t="str">
        <f>IF(คุณลักษณะอันพึงประสงค์!H13="","",คุณลักษณะอันพึงประสงค์!H13)</f>
        <v/>
      </c>
      <c r="AU10" t="str">
        <f>IF(คุณลักษณะอันพึงประสงค์!I13="","",คุณลักษณะอันพึงประสงค์!I13)</f>
        <v/>
      </c>
      <c r="AV10" t="str">
        <f>IF(คุณลักษณะอันพึงประสงค์!J13="","",คุณลักษณะอันพึงประสงค์!J13)</f>
        <v/>
      </c>
      <c r="AW10" t="str">
        <f>IF(คุณลักษณะอันพึงประสงค์!K13="","",คุณลักษณะอันพึงประสงค์!K13)</f>
        <v/>
      </c>
      <c r="AX10" t="str">
        <f>IF(คุณลักษณะอันพึงประสงค์!L13="","",คุณลักษณะอันพึงประสงค์!L13)</f>
        <v/>
      </c>
      <c r="AY10" t="str">
        <f>IF(คุณลักษณะอันพึงประสงค์!M13="","",คุณลักษณะอันพึงประสงค์!M13)</f>
        <v/>
      </c>
      <c r="AZ10" t="str">
        <f>IF(กลางภาค!D13="","",กลางภาค!D13)</f>
        <v/>
      </c>
      <c r="BA10" t="str">
        <f>IF(กลางภาค!E13="","",กลางภาค!E13)</f>
        <v/>
      </c>
      <c r="BB10" t="str">
        <f>IF(กลางภาค!F13="","",กลางภาค!F13)</f>
        <v/>
      </c>
      <c r="BC10" t="str">
        <f>IF(กลางภาค!G13="","",กลางภาค!G13)</f>
        <v/>
      </c>
      <c r="BD10" t="str">
        <f>IF(กลางภาค!H13="","",กลางภาค!H13)</f>
        <v/>
      </c>
      <c r="BE10" t="str">
        <f>IF(กลางภาค!I13="","",กลางภาค!I13)</f>
        <v/>
      </c>
      <c r="BF10" t="str">
        <f>IF(กลางภาค!J13="","",กลางภาค!J13)</f>
        <v/>
      </c>
      <c r="BG10" t="str">
        <f>IF(กลางภาค!K13="","",กลางภาค!K13)</f>
        <v/>
      </c>
      <c r="BH10" t="str">
        <f>IF(กลางภาค!L13="","",กลางภาค!L13)</f>
        <v/>
      </c>
      <c r="BI10" t="str">
        <f>IF(กลางภาค!M13="","",กลางภาค!M13)</f>
        <v/>
      </c>
      <c r="BJ10" t="str">
        <f>IF(ปลายภาค!D13="","",ปลายภาค!D13)</f>
        <v/>
      </c>
      <c r="BK10" t="str">
        <f>IF(ปลายภาค!E13="","",ปลายภาค!E13)</f>
        <v/>
      </c>
      <c r="BL10" t="str">
        <f>IF(ปลายภาค!F13="","",ปลายภาค!F13)</f>
        <v/>
      </c>
      <c r="BM10" t="str">
        <f>IF(ปลายภาค!G13="","",ปลายภาค!G13)</f>
        <v/>
      </c>
      <c r="BN10" t="str">
        <f>IF(ปลายภาค!H13="","",ปลายภาค!H13)</f>
        <v/>
      </c>
      <c r="BO10" t="str">
        <f>IF(ปลายภาค!I13="","",ปลายภาค!I13)</f>
        <v/>
      </c>
      <c r="BP10" t="str">
        <f>IF(ปลายภาค!J13="","",ปลายภาค!J13)</f>
        <v/>
      </c>
      <c r="BQ10" t="str">
        <f>IF(ปลายภาค!K13="","",ปลายภาค!K13)</f>
        <v/>
      </c>
      <c r="BR10" t="str">
        <f>IF(ปลายภาค!L13="","",ปลายภาค!L13)</f>
        <v/>
      </c>
      <c r="BS10" t="str">
        <f>IF(ปลายภาค!M13="","",ปลายภาค!M13)</f>
        <v/>
      </c>
      <c r="BT10" t="str">
        <f>IF(กลางภาค!N13="","",กลางภาค!N13)</f>
        <v/>
      </c>
      <c r="BU10" t="str">
        <f>IF(ปลายภาค!N13="","",ปลายภาค!N13)</f>
        <v/>
      </c>
      <c r="BV10" t="str">
        <f>IF(คุณลักษณะอันพึงประสงค์!X13="","",คุณลักษณะอันพึงประสงค์!X13)</f>
        <v/>
      </c>
      <c r="BW10" t="str">
        <f>IF(อ่านคิดวิเคราะห์!I13="","",อ่านคิดวิเคราะห์!I13)</f>
        <v/>
      </c>
      <c r="BX10" t="str">
        <f>IF(สมรรถนะ!N13="","",สมรรถนะ!N13)</f>
        <v/>
      </c>
      <c r="BY10" t="str">
        <f>IF(อ่านคิดวิเคราะห์!D13="","",อ่านคิดวิเคราะห์!D13)</f>
        <v/>
      </c>
      <c r="BZ10" t="str">
        <f>IF(อ่านคิดวิเคราะห์!E13="","",อ่านคิดวิเคราะห์!E13)</f>
        <v/>
      </c>
      <c r="CA10" t="str">
        <f>IF(อ่านคิดวิเคราะห์!F13="","",อ่านคิดวิเคราะห์!F13)</f>
        <v/>
      </c>
      <c r="CB10" t="str">
        <f>IF(อ่านคิดวิเคราะห์!G13="","",อ่านคิดวิเคราะห์!G13)</f>
        <v/>
      </c>
      <c r="CC10" t="str">
        <f>IF(อ่านคิดวิเคราะห์!H13="","",อ่านคิดวิเคราะห์!H13)</f>
        <v/>
      </c>
      <c r="CD10" t="str">
        <f>IF(สมรรถนะ!D13="","",สมรรถนะ!D13)</f>
        <v/>
      </c>
      <c r="CE10" t="str">
        <f>IF(สมรรถนะ!E13="","",สมรรถนะ!E13)</f>
        <v/>
      </c>
      <c r="CF10" t="str">
        <f>IF(สมรรถนะ!F13="","",สมรรถนะ!F13)</f>
        <v/>
      </c>
      <c r="CG10" t="str">
        <f>IF(สมรรถนะ!G13="","",สมรรถนะ!G13)</f>
        <v/>
      </c>
      <c r="CH10" t="str">
        <f>IF(สมรรถนะ!H13="","",สมรรถนะ!H13)</f>
        <v/>
      </c>
      <c r="CI10" t="str">
        <f>IF(สมรรถนะ!I13="","",สมรรถนะ!I13)</f>
        <v/>
      </c>
      <c r="CJ10" t="str">
        <f>IF(สมรรถนะ!J13="","",สมรรถนะ!J13)</f>
        <v/>
      </c>
      <c r="CK10" t="str">
        <f>IF(สมรรถนะ!K13="","",สมรรถนะ!K13)</f>
        <v/>
      </c>
      <c r="CL10" t="str">
        <f>IF(สมรรถนะ!L13="","",สมรรถนะ!L13)</f>
        <v/>
      </c>
      <c r="CM10" t="str">
        <f>IF(สมรรถนะ!M13="","",สมรรถนะ!M13)</f>
        <v/>
      </c>
      <c r="CN10" t="str">
        <f>IF(คุณลักษณะอันพึงประสงค์!N13="","",คุณลักษณะอันพึงประสงค์!N13)</f>
        <v/>
      </c>
      <c r="CO10" t="str">
        <f>IF(คุณลักษณะอันพึงประสงค์!O13="","",คุณลักษณะอันพึงประสงค์!O13)</f>
        <v/>
      </c>
      <c r="CP10" t="str">
        <f>IF(คุณลักษณะอันพึงประสงค์!P13="","",คุณลักษณะอันพึงประสงค์!P13)</f>
        <v/>
      </c>
      <c r="CQ10" t="str">
        <f>IF(คุณลักษณะอันพึงประสงค์!Q13="","",คุณลักษณะอันพึงประสงค์!Q13)</f>
        <v/>
      </c>
      <c r="CR10" t="str">
        <f>IF(คุณลักษณะอันพึงประสงค์!R13="","",คุณลักษณะอันพึงประสงค์!R13)</f>
        <v/>
      </c>
      <c r="CS10" t="str">
        <f>IF(คุณลักษณะอันพึงประสงค์!S13="","",คุณลักษณะอันพึงประสงค์!S13)</f>
        <v/>
      </c>
      <c r="CT10" t="str">
        <f>IF(คุณลักษณะอันพึงประสงค์!T13="","",คุณลักษณะอันพึงประสงค์!T13)</f>
        <v/>
      </c>
      <c r="CU10" t="str">
        <f>IF(คุณลักษณะอันพึงประสงค์!U13="","",คุณลักษณะอันพึงประสงค์!U13)</f>
        <v/>
      </c>
      <c r="CV10" t="str">
        <f>IF(คุณลักษณะอันพึงประสงค์!V13="","",คุณลักษณะอันพึงประสงค์!V13)</f>
        <v/>
      </c>
      <c r="CW10" t="str">
        <f>IF(คุณลักษณะอันพึงประสงค์!W13="","",คุณลักษณะอันพึงประสงค์!W13)</f>
        <v/>
      </c>
    </row>
    <row r="11" spans="1:101">
      <c r="A11" t="str">
        <f>IF(คะแนนเก็บ!B14="","",คะแนนเก็บ!B14)</f>
        <v/>
      </c>
      <c r="B11" t="str">
        <f>IF(คะแนนเก็บ!D14="","",คะแนนเก็บ!D14)</f>
        <v/>
      </c>
      <c r="C11" t="str">
        <f>IF(คะแนนเก็บ!E14="","",คะแนนเก็บ!E14)</f>
        <v/>
      </c>
      <c r="D11" t="str">
        <f>IF(คะแนนเก็บ!F14="","",คะแนนเก็บ!F14)</f>
        <v/>
      </c>
      <c r="E11" t="str">
        <f>IF(คะแนนเก็บ!G14="","",คะแนนเก็บ!G14)</f>
        <v/>
      </c>
      <c r="F11" t="str">
        <f>IF(คะแนนเก็บ!H14="","",คะแนนเก็บ!H14)</f>
        <v/>
      </c>
      <c r="G11" t="str">
        <f>IF(คะแนนเก็บ!I14="","",คะแนนเก็บ!I14)</f>
        <v/>
      </c>
      <c r="H11" t="str">
        <f>IF(คะแนนเก็บ!J14="","",คะแนนเก็บ!J14)</f>
        <v/>
      </c>
      <c r="I11" t="str">
        <f>IF(คะแนนเก็บ!K14="","",คะแนนเก็บ!K14)</f>
        <v/>
      </c>
      <c r="J11" t="str">
        <f>IF(คะแนนเก็บ!L14="","",คะแนนเก็บ!L14)</f>
        <v/>
      </c>
      <c r="K11" t="str">
        <f>IF(คะแนนเก็บ!M14="","",คะแนนเก็บ!M14)</f>
        <v/>
      </c>
      <c r="L11" t="str">
        <f>IF(คะแนนเก็บ!N14="","",คะแนนเก็บ!N14)</f>
        <v/>
      </c>
      <c r="M11" t="str">
        <f>IF(คะแนนเก็บ!O14="","",คะแนนเก็บ!O14)</f>
        <v/>
      </c>
      <c r="N11" t="str">
        <f>IF(คะแนนเก็บ!P14="","",คะแนนเก็บ!P14)</f>
        <v/>
      </c>
      <c r="O11" t="str">
        <f>IF(คะแนนเก็บ!Q14="","",คะแนนเก็บ!Q14)</f>
        <v/>
      </c>
      <c r="P11" t="str">
        <f>IF(คะแนนเก็บ!R14="","",คะแนนเก็บ!R14)</f>
        <v/>
      </c>
      <c r="Q11" t="str">
        <f>IF(คะแนนเก็บ!S14="","",คะแนนเก็บ!S14)</f>
        <v/>
      </c>
      <c r="R11" t="str">
        <f>IF(คะแนนเก็บ!T14="","",คะแนนเก็บ!T14)</f>
        <v/>
      </c>
      <c r="S11" t="str">
        <f>IF(คะแนนเก็บ!U14="","",คะแนนเก็บ!U14)</f>
        <v/>
      </c>
      <c r="T11" t="str">
        <f>IF(คะแนนเก็บ!V14="","",คะแนนเก็บ!V14)</f>
        <v/>
      </c>
      <c r="U11" t="str">
        <f>IF(คะแนนเก็บ!W14="","",คะแนนเก็บ!W14)</f>
        <v/>
      </c>
      <c r="V11" t="str">
        <f>IF(คะแนนเก็บหลังกลางภาค!D14="","",คะแนนเก็บหลังกลางภาค!D14)</f>
        <v/>
      </c>
      <c r="W11" t="str">
        <f>IF(คะแนนเก็บหลังกลางภาค!E14="","",คะแนนเก็บหลังกลางภาค!E14)</f>
        <v/>
      </c>
      <c r="X11" t="str">
        <f>IF(คะแนนเก็บหลังกลางภาค!F14="","",คะแนนเก็บหลังกลางภาค!F14)</f>
        <v/>
      </c>
      <c r="Y11" t="str">
        <f>IF(คะแนนเก็บหลังกลางภาค!G14="","",คะแนนเก็บหลังกลางภาค!G14)</f>
        <v/>
      </c>
      <c r="Z11" t="str">
        <f>IF(คะแนนเก็บหลังกลางภาค!H14="","",คะแนนเก็บหลังกลางภาค!H14)</f>
        <v/>
      </c>
      <c r="AA11" t="str">
        <f>IF(คะแนนเก็บหลังกลางภาค!I14="","",คะแนนเก็บหลังกลางภาค!I14)</f>
        <v/>
      </c>
      <c r="AB11" t="str">
        <f>IF(คะแนนเก็บหลังกลางภาค!J14="","",คะแนนเก็บหลังกลางภาค!J14)</f>
        <v/>
      </c>
      <c r="AC11" t="str">
        <f>IF(คะแนนเก็บหลังกลางภาค!K14="","",คะแนนเก็บหลังกลางภาค!K14)</f>
        <v/>
      </c>
      <c r="AD11" t="str">
        <f>IF(คะแนนเก็บหลังกลางภาค!L14="","",คะแนนเก็บหลังกลางภาค!L14)</f>
        <v/>
      </c>
      <c r="AE11" t="str">
        <f>IF(คะแนนเก็บหลังกลางภาค!M14="","",คะแนนเก็บหลังกลางภาค!M14)</f>
        <v/>
      </c>
      <c r="AF11" t="str">
        <f>IF(คะแนนเก็บหลังกลางภาค!N14="","",คะแนนเก็บหลังกลางภาค!N14)</f>
        <v/>
      </c>
      <c r="AG11" t="str">
        <f>IF(คะแนนเก็บหลังกลางภาค!O14="","",คะแนนเก็บหลังกลางภาค!O14)</f>
        <v/>
      </c>
      <c r="AH11" t="str">
        <f>IF(คะแนนเก็บหลังกลางภาค!P14="","",คะแนนเก็บหลังกลางภาค!P14)</f>
        <v/>
      </c>
      <c r="AI11" t="str">
        <f>IF(คะแนนเก็บหลังกลางภาค!Q14="","",คะแนนเก็บหลังกลางภาค!Q14)</f>
        <v/>
      </c>
      <c r="AJ11" t="str">
        <f>IF(คะแนนเก็บหลังกลางภาค!R14="","",คะแนนเก็บหลังกลางภาค!R14)</f>
        <v/>
      </c>
      <c r="AK11" t="str">
        <f>IF(คะแนนเก็บหลังกลางภาค!S14="","",คะแนนเก็บหลังกลางภาค!S14)</f>
        <v/>
      </c>
      <c r="AL11" t="str">
        <f>IF(คะแนนเก็บหลังกลางภาค!T14="","",คะแนนเก็บหลังกลางภาค!T14)</f>
        <v/>
      </c>
      <c r="AM11" t="str">
        <f>IF(คะแนนเก็บหลังกลางภาค!U14="","",คะแนนเก็บหลังกลางภาค!U14)</f>
        <v/>
      </c>
      <c r="AN11" t="str">
        <f>IF(คะแนนเก็บหลังกลางภาค!V14="","",คะแนนเก็บหลังกลางภาค!V14)</f>
        <v/>
      </c>
      <c r="AO11" t="str">
        <f>IF(คะแนนเก็บหลังกลางภาค!W14="","",คะแนนเก็บหลังกลางภาค!W14)</f>
        <v/>
      </c>
      <c r="AP11" t="str">
        <f>IF(คุณลักษณะอันพึงประสงค์!D14="","",คุณลักษณะอันพึงประสงค์!D14)</f>
        <v/>
      </c>
      <c r="AQ11" t="str">
        <f>IF(คุณลักษณะอันพึงประสงค์!E14="","",คุณลักษณะอันพึงประสงค์!E14)</f>
        <v/>
      </c>
      <c r="AR11" t="str">
        <f>IF(คุณลักษณะอันพึงประสงค์!F14="","",คุณลักษณะอันพึงประสงค์!F14)</f>
        <v/>
      </c>
      <c r="AS11" t="str">
        <f>IF(คุณลักษณะอันพึงประสงค์!G14="","",คุณลักษณะอันพึงประสงค์!G14)</f>
        <v/>
      </c>
      <c r="AT11" t="str">
        <f>IF(คุณลักษณะอันพึงประสงค์!H14="","",คุณลักษณะอันพึงประสงค์!H14)</f>
        <v/>
      </c>
      <c r="AU11" t="str">
        <f>IF(คุณลักษณะอันพึงประสงค์!I14="","",คุณลักษณะอันพึงประสงค์!I14)</f>
        <v/>
      </c>
      <c r="AV11" t="str">
        <f>IF(คุณลักษณะอันพึงประสงค์!J14="","",คุณลักษณะอันพึงประสงค์!J14)</f>
        <v/>
      </c>
      <c r="AW11" t="str">
        <f>IF(คุณลักษณะอันพึงประสงค์!K14="","",คุณลักษณะอันพึงประสงค์!K14)</f>
        <v/>
      </c>
      <c r="AX11" t="str">
        <f>IF(คุณลักษณะอันพึงประสงค์!L14="","",คุณลักษณะอันพึงประสงค์!L14)</f>
        <v/>
      </c>
      <c r="AY11" t="str">
        <f>IF(คุณลักษณะอันพึงประสงค์!M14="","",คุณลักษณะอันพึงประสงค์!M14)</f>
        <v/>
      </c>
      <c r="AZ11" t="str">
        <f>IF(กลางภาค!D14="","",กลางภาค!D14)</f>
        <v/>
      </c>
      <c r="BA11" t="str">
        <f>IF(กลางภาค!E14="","",กลางภาค!E14)</f>
        <v/>
      </c>
      <c r="BB11" t="str">
        <f>IF(กลางภาค!F14="","",กลางภาค!F14)</f>
        <v/>
      </c>
      <c r="BC11" t="str">
        <f>IF(กลางภาค!G14="","",กลางภาค!G14)</f>
        <v/>
      </c>
      <c r="BD11" t="str">
        <f>IF(กลางภาค!H14="","",กลางภาค!H14)</f>
        <v/>
      </c>
      <c r="BE11" t="str">
        <f>IF(กลางภาค!I14="","",กลางภาค!I14)</f>
        <v/>
      </c>
      <c r="BF11" t="str">
        <f>IF(กลางภาค!J14="","",กลางภาค!J14)</f>
        <v/>
      </c>
      <c r="BG11" t="str">
        <f>IF(กลางภาค!K14="","",กลางภาค!K14)</f>
        <v/>
      </c>
      <c r="BH11" t="str">
        <f>IF(กลางภาค!L14="","",กลางภาค!L14)</f>
        <v/>
      </c>
      <c r="BI11" t="str">
        <f>IF(กลางภาค!M14="","",กลางภาค!M14)</f>
        <v/>
      </c>
      <c r="BJ11" t="str">
        <f>IF(ปลายภาค!D14="","",ปลายภาค!D14)</f>
        <v/>
      </c>
      <c r="BK11" t="str">
        <f>IF(ปลายภาค!E14="","",ปลายภาค!E14)</f>
        <v/>
      </c>
      <c r="BL11" t="str">
        <f>IF(ปลายภาค!F14="","",ปลายภาค!F14)</f>
        <v/>
      </c>
      <c r="BM11" t="str">
        <f>IF(ปลายภาค!G14="","",ปลายภาค!G14)</f>
        <v/>
      </c>
      <c r="BN11" t="str">
        <f>IF(ปลายภาค!H14="","",ปลายภาค!H14)</f>
        <v/>
      </c>
      <c r="BO11" t="str">
        <f>IF(ปลายภาค!I14="","",ปลายภาค!I14)</f>
        <v/>
      </c>
      <c r="BP11" t="str">
        <f>IF(ปลายภาค!J14="","",ปลายภาค!J14)</f>
        <v/>
      </c>
      <c r="BQ11" t="str">
        <f>IF(ปลายภาค!K14="","",ปลายภาค!K14)</f>
        <v/>
      </c>
      <c r="BR11" t="str">
        <f>IF(ปลายภาค!L14="","",ปลายภาค!L14)</f>
        <v/>
      </c>
      <c r="BS11" t="str">
        <f>IF(ปลายภาค!M14="","",ปลายภาค!M14)</f>
        <v/>
      </c>
      <c r="BT11" t="str">
        <f>IF(กลางภาค!N14="","",กลางภาค!N14)</f>
        <v/>
      </c>
      <c r="BU11" t="str">
        <f>IF(ปลายภาค!N14="","",ปลายภาค!N14)</f>
        <v/>
      </c>
      <c r="BV11" t="str">
        <f>IF(คุณลักษณะอันพึงประสงค์!X14="","",คุณลักษณะอันพึงประสงค์!X14)</f>
        <v/>
      </c>
      <c r="BW11" t="str">
        <f>IF(อ่านคิดวิเคราะห์!I14="","",อ่านคิดวิเคราะห์!I14)</f>
        <v/>
      </c>
      <c r="BX11" t="str">
        <f>IF(สมรรถนะ!N14="","",สมรรถนะ!N14)</f>
        <v/>
      </c>
      <c r="BY11" t="str">
        <f>IF(อ่านคิดวิเคราะห์!D14="","",อ่านคิดวิเคราะห์!D14)</f>
        <v/>
      </c>
      <c r="BZ11" t="str">
        <f>IF(อ่านคิดวิเคราะห์!E14="","",อ่านคิดวิเคราะห์!E14)</f>
        <v/>
      </c>
      <c r="CA11" t="str">
        <f>IF(อ่านคิดวิเคราะห์!F14="","",อ่านคิดวิเคราะห์!F14)</f>
        <v/>
      </c>
      <c r="CB11" t="str">
        <f>IF(อ่านคิดวิเคราะห์!G14="","",อ่านคิดวิเคราะห์!G14)</f>
        <v/>
      </c>
      <c r="CC11" t="str">
        <f>IF(อ่านคิดวิเคราะห์!H14="","",อ่านคิดวิเคราะห์!H14)</f>
        <v/>
      </c>
      <c r="CD11" t="str">
        <f>IF(สมรรถนะ!D14="","",สมรรถนะ!D14)</f>
        <v/>
      </c>
      <c r="CE11" t="str">
        <f>IF(สมรรถนะ!E14="","",สมรรถนะ!E14)</f>
        <v/>
      </c>
      <c r="CF11" t="str">
        <f>IF(สมรรถนะ!F14="","",สมรรถนะ!F14)</f>
        <v/>
      </c>
      <c r="CG11" t="str">
        <f>IF(สมรรถนะ!G14="","",สมรรถนะ!G14)</f>
        <v/>
      </c>
      <c r="CH11" t="str">
        <f>IF(สมรรถนะ!H14="","",สมรรถนะ!H14)</f>
        <v/>
      </c>
      <c r="CI11" t="str">
        <f>IF(สมรรถนะ!I14="","",สมรรถนะ!I14)</f>
        <v/>
      </c>
      <c r="CJ11" t="str">
        <f>IF(สมรรถนะ!J14="","",สมรรถนะ!J14)</f>
        <v/>
      </c>
      <c r="CK11" t="str">
        <f>IF(สมรรถนะ!K14="","",สมรรถนะ!K14)</f>
        <v/>
      </c>
      <c r="CL11" t="str">
        <f>IF(สมรรถนะ!L14="","",สมรรถนะ!L14)</f>
        <v/>
      </c>
      <c r="CM11" t="str">
        <f>IF(สมรรถนะ!M14="","",สมรรถนะ!M14)</f>
        <v/>
      </c>
      <c r="CN11" t="str">
        <f>IF(คุณลักษณะอันพึงประสงค์!N14="","",คุณลักษณะอันพึงประสงค์!N14)</f>
        <v/>
      </c>
      <c r="CO11" t="str">
        <f>IF(คุณลักษณะอันพึงประสงค์!O14="","",คุณลักษณะอันพึงประสงค์!O14)</f>
        <v/>
      </c>
      <c r="CP11" t="str">
        <f>IF(คุณลักษณะอันพึงประสงค์!P14="","",คุณลักษณะอันพึงประสงค์!P14)</f>
        <v/>
      </c>
      <c r="CQ11" t="str">
        <f>IF(คุณลักษณะอันพึงประสงค์!Q14="","",คุณลักษณะอันพึงประสงค์!Q14)</f>
        <v/>
      </c>
      <c r="CR11" t="str">
        <f>IF(คุณลักษณะอันพึงประสงค์!R14="","",คุณลักษณะอันพึงประสงค์!R14)</f>
        <v/>
      </c>
      <c r="CS11" t="str">
        <f>IF(คุณลักษณะอันพึงประสงค์!S14="","",คุณลักษณะอันพึงประสงค์!S14)</f>
        <v/>
      </c>
      <c r="CT11" t="str">
        <f>IF(คุณลักษณะอันพึงประสงค์!T14="","",คุณลักษณะอันพึงประสงค์!T14)</f>
        <v/>
      </c>
      <c r="CU11" t="str">
        <f>IF(คุณลักษณะอันพึงประสงค์!U14="","",คุณลักษณะอันพึงประสงค์!U14)</f>
        <v/>
      </c>
      <c r="CV11" t="str">
        <f>IF(คุณลักษณะอันพึงประสงค์!V14="","",คุณลักษณะอันพึงประสงค์!V14)</f>
        <v/>
      </c>
      <c r="CW11" t="str">
        <f>IF(คุณลักษณะอันพึงประสงค์!W14="","",คุณลักษณะอันพึงประสงค์!W14)</f>
        <v/>
      </c>
    </row>
    <row r="12" spans="1:101">
      <c r="A12" t="str">
        <f>IF(คะแนนเก็บ!B15="","",คะแนนเก็บ!B15)</f>
        <v/>
      </c>
      <c r="B12" t="str">
        <f>IF(คะแนนเก็บ!D15="","",คะแนนเก็บ!D15)</f>
        <v/>
      </c>
      <c r="C12" t="str">
        <f>IF(คะแนนเก็บ!E15="","",คะแนนเก็บ!E15)</f>
        <v/>
      </c>
      <c r="D12" t="str">
        <f>IF(คะแนนเก็บ!F15="","",คะแนนเก็บ!F15)</f>
        <v/>
      </c>
      <c r="E12" t="str">
        <f>IF(คะแนนเก็บ!G15="","",คะแนนเก็บ!G15)</f>
        <v/>
      </c>
      <c r="F12" t="str">
        <f>IF(คะแนนเก็บ!H15="","",คะแนนเก็บ!H15)</f>
        <v/>
      </c>
      <c r="G12" t="str">
        <f>IF(คะแนนเก็บ!I15="","",คะแนนเก็บ!I15)</f>
        <v/>
      </c>
      <c r="H12" t="str">
        <f>IF(คะแนนเก็บ!J15="","",คะแนนเก็บ!J15)</f>
        <v/>
      </c>
      <c r="I12" t="str">
        <f>IF(คะแนนเก็บ!K15="","",คะแนนเก็บ!K15)</f>
        <v/>
      </c>
      <c r="J12" t="str">
        <f>IF(คะแนนเก็บ!L15="","",คะแนนเก็บ!L15)</f>
        <v/>
      </c>
      <c r="K12" t="str">
        <f>IF(คะแนนเก็บ!M15="","",คะแนนเก็บ!M15)</f>
        <v/>
      </c>
      <c r="L12" t="str">
        <f>IF(คะแนนเก็บ!N15="","",คะแนนเก็บ!N15)</f>
        <v/>
      </c>
      <c r="M12" t="str">
        <f>IF(คะแนนเก็บ!O15="","",คะแนนเก็บ!O15)</f>
        <v/>
      </c>
      <c r="N12" t="str">
        <f>IF(คะแนนเก็บ!P15="","",คะแนนเก็บ!P15)</f>
        <v/>
      </c>
      <c r="O12" t="str">
        <f>IF(คะแนนเก็บ!Q15="","",คะแนนเก็บ!Q15)</f>
        <v/>
      </c>
      <c r="P12" t="str">
        <f>IF(คะแนนเก็บ!R15="","",คะแนนเก็บ!R15)</f>
        <v/>
      </c>
      <c r="Q12" t="str">
        <f>IF(คะแนนเก็บ!S15="","",คะแนนเก็บ!S15)</f>
        <v/>
      </c>
      <c r="R12" t="str">
        <f>IF(คะแนนเก็บ!T15="","",คะแนนเก็บ!T15)</f>
        <v/>
      </c>
      <c r="S12" t="str">
        <f>IF(คะแนนเก็บ!U15="","",คะแนนเก็บ!U15)</f>
        <v/>
      </c>
      <c r="T12" t="str">
        <f>IF(คะแนนเก็บ!V15="","",คะแนนเก็บ!V15)</f>
        <v/>
      </c>
      <c r="U12" t="str">
        <f>IF(คะแนนเก็บ!W15="","",คะแนนเก็บ!W15)</f>
        <v/>
      </c>
      <c r="V12" t="str">
        <f>IF(คะแนนเก็บหลังกลางภาค!D15="","",คะแนนเก็บหลังกลางภาค!D15)</f>
        <v/>
      </c>
      <c r="W12" t="str">
        <f>IF(คะแนนเก็บหลังกลางภาค!E15="","",คะแนนเก็บหลังกลางภาค!E15)</f>
        <v/>
      </c>
      <c r="X12" t="str">
        <f>IF(คะแนนเก็บหลังกลางภาค!F15="","",คะแนนเก็บหลังกลางภาค!F15)</f>
        <v/>
      </c>
      <c r="Y12" t="str">
        <f>IF(คะแนนเก็บหลังกลางภาค!G15="","",คะแนนเก็บหลังกลางภาค!G15)</f>
        <v/>
      </c>
      <c r="Z12" t="str">
        <f>IF(คะแนนเก็บหลังกลางภาค!H15="","",คะแนนเก็บหลังกลางภาค!H15)</f>
        <v/>
      </c>
      <c r="AA12" t="str">
        <f>IF(คะแนนเก็บหลังกลางภาค!I15="","",คะแนนเก็บหลังกลางภาค!I15)</f>
        <v/>
      </c>
      <c r="AB12" t="str">
        <f>IF(คะแนนเก็บหลังกลางภาค!J15="","",คะแนนเก็บหลังกลางภาค!J15)</f>
        <v/>
      </c>
      <c r="AC12" t="str">
        <f>IF(คะแนนเก็บหลังกลางภาค!K15="","",คะแนนเก็บหลังกลางภาค!K15)</f>
        <v/>
      </c>
      <c r="AD12" t="str">
        <f>IF(คะแนนเก็บหลังกลางภาค!L15="","",คะแนนเก็บหลังกลางภาค!L15)</f>
        <v/>
      </c>
      <c r="AE12" t="str">
        <f>IF(คะแนนเก็บหลังกลางภาค!M15="","",คะแนนเก็บหลังกลางภาค!M15)</f>
        <v/>
      </c>
      <c r="AF12" t="str">
        <f>IF(คะแนนเก็บหลังกลางภาค!N15="","",คะแนนเก็บหลังกลางภาค!N15)</f>
        <v/>
      </c>
      <c r="AG12" t="str">
        <f>IF(คะแนนเก็บหลังกลางภาค!O15="","",คะแนนเก็บหลังกลางภาค!O15)</f>
        <v/>
      </c>
      <c r="AH12" t="str">
        <f>IF(คะแนนเก็บหลังกลางภาค!P15="","",คะแนนเก็บหลังกลางภาค!P15)</f>
        <v/>
      </c>
      <c r="AI12" t="str">
        <f>IF(คะแนนเก็บหลังกลางภาค!Q15="","",คะแนนเก็บหลังกลางภาค!Q15)</f>
        <v/>
      </c>
      <c r="AJ12" t="str">
        <f>IF(คะแนนเก็บหลังกลางภาค!R15="","",คะแนนเก็บหลังกลางภาค!R15)</f>
        <v/>
      </c>
      <c r="AK12" t="str">
        <f>IF(คะแนนเก็บหลังกลางภาค!S15="","",คะแนนเก็บหลังกลางภาค!S15)</f>
        <v/>
      </c>
      <c r="AL12" t="str">
        <f>IF(คะแนนเก็บหลังกลางภาค!T15="","",คะแนนเก็บหลังกลางภาค!T15)</f>
        <v/>
      </c>
      <c r="AM12" t="str">
        <f>IF(คะแนนเก็บหลังกลางภาค!U15="","",คะแนนเก็บหลังกลางภาค!U15)</f>
        <v/>
      </c>
      <c r="AN12" t="str">
        <f>IF(คะแนนเก็บหลังกลางภาค!V15="","",คะแนนเก็บหลังกลางภาค!V15)</f>
        <v/>
      </c>
      <c r="AO12" t="str">
        <f>IF(คะแนนเก็บหลังกลางภาค!W15="","",คะแนนเก็บหลังกลางภาค!W15)</f>
        <v/>
      </c>
      <c r="AP12" t="str">
        <f>IF(คุณลักษณะอันพึงประสงค์!D15="","",คุณลักษณะอันพึงประสงค์!D15)</f>
        <v/>
      </c>
      <c r="AQ12" t="str">
        <f>IF(คุณลักษณะอันพึงประสงค์!E15="","",คุณลักษณะอันพึงประสงค์!E15)</f>
        <v/>
      </c>
      <c r="AR12" t="str">
        <f>IF(คุณลักษณะอันพึงประสงค์!F15="","",คุณลักษณะอันพึงประสงค์!F15)</f>
        <v/>
      </c>
      <c r="AS12" t="str">
        <f>IF(คุณลักษณะอันพึงประสงค์!G15="","",คุณลักษณะอันพึงประสงค์!G15)</f>
        <v/>
      </c>
      <c r="AT12" t="str">
        <f>IF(คุณลักษณะอันพึงประสงค์!H15="","",คุณลักษณะอันพึงประสงค์!H15)</f>
        <v/>
      </c>
      <c r="AU12" t="str">
        <f>IF(คุณลักษณะอันพึงประสงค์!I15="","",คุณลักษณะอันพึงประสงค์!I15)</f>
        <v/>
      </c>
      <c r="AV12" t="str">
        <f>IF(คุณลักษณะอันพึงประสงค์!J15="","",คุณลักษณะอันพึงประสงค์!J15)</f>
        <v/>
      </c>
      <c r="AW12" t="str">
        <f>IF(คุณลักษณะอันพึงประสงค์!K15="","",คุณลักษณะอันพึงประสงค์!K15)</f>
        <v/>
      </c>
      <c r="AX12" t="str">
        <f>IF(คุณลักษณะอันพึงประสงค์!L15="","",คุณลักษณะอันพึงประสงค์!L15)</f>
        <v/>
      </c>
      <c r="AY12" t="str">
        <f>IF(คุณลักษณะอันพึงประสงค์!M15="","",คุณลักษณะอันพึงประสงค์!M15)</f>
        <v/>
      </c>
      <c r="AZ12" t="str">
        <f>IF(กลางภาค!D15="","",กลางภาค!D15)</f>
        <v/>
      </c>
      <c r="BA12" t="str">
        <f>IF(กลางภาค!E15="","",กลางภาค!E15)</f>
        <v/>
      </c>
      <c r="BB12" t="str">
        <f>IF(กลางภาค!F15="","",กลางภาค!F15)</f>
        <v/>
      </c>
      <c r="BC12" t="str">
        <f>IF(กลางภาค!G15="","",กลางภาค!G15)</f>
        <v/>
      </c>
      <c r="BD12" t="str">
        <f>IF(กลางภาค!H15="","",กลางภาค!H15)</f>
        <v/>
      </c>
      <c r="BE12" t="str">
        <f>IF(กลางภาค!I15="","",กลางภาค!I15)</f>
        <v/>
      </c>
      <c r="BF12" t="str">
        <f>IF(กลางภาค!J15="","",กลางภาค!J15)</f>
        <v/>
      </c>
      <c r="BG12" t="str">
        <f>IF(กลางภาค!K15="","",กลางภาค!K15)</f>
        <v/>
      </c>
      <c r="BH12" t="str">
        <f>IF(กลางภาค!L15="","",กลางภาค!L15)</f>
        <v/>
      </c>
      <c r="BI12" t="str">
        <f>IF(กลางภาค!M15="","",กลางภาค!M15)</f>
        <v/>
      </c>
      <c r="BJ12" t="str">
        <f>IF(ปลายภาค!D15="","",ปลายภาค!D15)</f>
        <v/>
      </c>
      <c r="BK12" t="str">
        <f>IF(ปลายภาค!E15="","",ปลายภาค!E15)</f>
        <v/>
      </c>
      <c r="BL12" t="str">
        <f>IF(ปลายภาค!F15="","",ปลายภาค!F15)</f>
        <v/>
      </c>
      <c r="BM12" t="str">
        <f>IF(ปลายภาค!G15="","",ปลายภาค!G15)</f>
        <v/>
      </c>
      <c r="BN12" t="str">
        <f>IF(ปลายภาค!H15="","",ปลายภาค!H15)</f>
        <v/>
      </c>
      <c r="BO12" t="str">
        <f>IF(ปลายภาค!I15="","",ปลายภาค!I15)</f>
        <v/>
      </c>
      <c r="BP12" t="str">
        <f>IF(ปลายภาค!J15="","",ปลายภาค!J15)</f>
        <v/>
      </c>
      <c r="BQ12" t="str">
        <f>IF(ปลายภาค!K15="","",ปลายภาค!K15)</f>
        <v/>
      </c>
      <c r="BR12" t="str">
        <f>IF(ปลายภาค!L15="","",ปลายภาค!L15)</f>
        <v/>
      </c>
      <c r="BS12" t="str">
        <f>IF(ปลายภาค!M15="","",ปลายภาค!M15)</f>
        <v/>
      </c>
      <c r="BT12" t="str">
        <f>IF(กลางภาค!N15="","",กลางภาค!N15)</f>
        <v/>
      </c>
      <c r="BU12" t="str">
        <f>IF(ปลายภาค!N15="","",ปลายภาค!N15)</f>
        <v/>
      </c>
      <c r="BV12" t="str">
        <f>IF(คุณลักษณะอันพึงประสงค์!X15="","",คุณลักษณะอันพึงประสงค์!X15)</f>
        <v/>
      </c>
      <c r="BW12" t="str">
        <f>IF(อ่านคิดวิเคราะห์!I15="","",อ่านคิดวิเคราะห์!I15)</f>
        <v/>
      </c>
      <c r="BX12" t="str">
        <f>IF(สมรรถนะ!N15="","",สมรรถนะ!N15)</f>
        <v/>
      </c>
      <c r="BY12" t="str">
        <f>IF(อ่านคิดวิเคราะห์!D15="","",อ่านคิดวิเคราะห์!D15)</f>
        <v/>
      </c>
      <c r="BZ12" t="str">
        <f>IF(อ่านคิดวิเคราะห์!E15="","",อ่านคิดวิเคราะห์!E15)</f>
        <v/>
      </c>
      <c r="CA12" t="str">
        <f>IF(อ่านคิดวิเคราะห์!F15="","",อ่านคิดวิเคราะห์!F15)</f>
        <v/>
      </c>
      <c r="CB12" t="str">
        <f>IF(อ่านคิดวิเคราะห์!G15="","",อ่านคิดวิเคราะห์!G15)</f>
        <v/>
      </c>
      <c r="CC12" t="str">
        <f>IF(อ่านคิดวิเคราะห์!H15="","",อ่านคิดวิเคราะห์!H15)</f>
        <v/>
      </c>
      <c r="CD12" t="str">
        <f>IF(สมรรถนะ!D15="","",สมรรถนะ!D15)</f>
        <v/>
      </c>
      <c r="CE12" t="str">
        <f>IF(สมรรถนะ!E15="","",สมรรถนะ!E15)</f>
        <v/>
      </c>
      <c r="CF12" t="str">
        <f>IF(สมรรถนะ!F15="","",สมรรถนะ!F15)</f>
        <v/>
      </c>
      <c r="CG12" t="str">
        <f>IF(สมรรถนะ!G15="","",สมรรถนะ!G15)</f>
        <v/>
      </c>
      <c r="CH12" t="str">
        <f>IF(สมรรถนะ!H15="","",สมรรถนะ!H15)</f>
        <v/>
      </c>
      <c r="CI12" t="str">
        <f>IF(สมรรถนะ!I15="","",สมรรถนะ!I15)</f>
        <v/>
      </c>
      <c r="CJ12" t="str">
        <f>IF(สมรรถนะ!J15="","",สมรรถนะ!J15)</f>
        <v/>
      </c>
      <c r="CK12" t="str">
        <f>IF(สมรรถนะ!K15="","",สมรรถนะ!K15)</f>
        <v/>
      </c>
      <c r="CL12" t="str">
        <f>IF(สมรรถนะ!L15="","",สมรรถนะ!L15)</f>
        <v/>
      </c>
      <c r="CM12" t="str">
        <f>IF(สมรรถนะ!M15="","",สมรรถนะ!M15)</f>
        <v/>
      </c>
      <c r="CN12" t="str">
        <f>IF(คุณลักษณะอันพึงประสงค์!N15="","",คุณลักษณะอันพึงประสงค์!N15)</f>
        <v/>
      </c>
      <c r="CO12" t="str">
        <f>IF(คุณลักษณะอันพึงประสงค์!O15="","",คุณลักษณะอันพึงประสงค์!O15)</f>
        <v/>
      </c>
      <c r="CP12" t="str">
        <f>IF(คุณลักษณะอันพึงประสงค์!P15="","",คุณลักษณะอันพึงประสงค์!P15)</f>
        <v/>
      </c>
      <c r="CQ12" t="str">
        <f>IF(คุณลักษณะอันพึงประสงค์!Q15="","",คุณลักษณะอันพึงประสงค์!Q15)</f>
        <v/>
      </c>
      <c r="CR12" t="str">
        <f>IF(คุณลักษณะอันพึงประสงค์!R15="","",คุณลักษณะอันพึงประสงค์!R15)</f>
        <v/>
      </c>
      <c r="CS12" t="str">
        <f>IF(คุณลักษณะอันพึงประสงค์!S15="","",คุณลักษณะอันพึงประสงค์!S15)</f>
        <v/>
      </c>
      <c r="CT12" t="str">
        <f>IF(คุณลักษณะอันพึงประสงค์!T15="","",คุณลักษณะอันพึงประสงค์!T15)</f>
        <v/>
      </c>
      <c r="CU12" t="str">
        <f>IF(คุณลักษณะอันพึงประสงค์!U15="","",คุณลักษณะอันพึงประสงค์!U15)</f>
        <v/>
      </c>
      <c r="CV12" t="str">
        <f>IF(คุณลักษณะอันพึงประสงค์!V15="","",คุณลักษณะอันพึงประสงค์!V15)</f>
        <v/>
      </c>
      <c r="CW12" t="str">
        <f>IF(คุณลักษณะอันพึงประสงค์!W15="","",คุณลักษณะอันพึงประสงค์!W15)</f>
        <v/>
      </c>
    </row>
    <row r="13" spans="1:101">
      <c r="A13" t="str">
        <f>IF(คะแนนเก็บ!B16="","",คะแนนเก็บ!B16)</f>
        <v/>
      </c>
      <c r="B13" t="str">
        <f>IF(คะแนนเก็บ!D16="","",คะแนนเก็บ!D16)</f>
        <v/>
      </c>
      <c r="C13" t="str">
        <f>IF(คะแนนเก็บ!E16="","",คะแนนเก็บ!E16)</f>
        <v/>
      </c>
      <c r="D13" t="str">
        <f>IF(คะแนนเก็บ!F16="","",คะแนนเก็บ!F16)</f>
        <v/>
      </c>
      <c r="E13" t="str">
        <f>IF(คะแนนเก็บ!G16="","",คะแนนเก็บ!G16)</f>
        <v/>
      </c>
      <c r="F13" t="str">
        <f>IF(คะแนนเก็บ!H16="","",คะแนนเก็บ!H16)</f>
        <v/>
      </c>
      <c r="G13" t="str">
        <f>IF(คะแนนเก็บ!I16="","",คะแนนเก็บ!I16)</f>
        <v/>
      </c>
      <c r="H13" t="str">
        <f>IF(คะแนนเก็บ!J16="","",คะแนนเก็บ!J16)</f>
        <v/>
      </c>
      <c r="I13" t="str">
        <f>IF(คะแนนเก็บ!K16="","",คะแนนเก็บ!K16)</f>
        <v/>
      </c>
      <c r="J13" t="str">
        <f>IF(คะแนนเก็บ!L16="","",คะแนนเก็บ!L16)</f>
        <v/>
      </c>
      <c r="K13" t="str">
        <f>IF(คะแนนเก็บ!M16="","",คะแนนเก็บ!M16)</f>
        <v/>
      </c>
      <c r="L13" t="str">
        <f>IF(คะแนนเก็บ!N16="","",คะแนนเก็บ!N16)</f>
        <v/>
      </c>
      <c r="M13" t="str">
        <f>IF(คะแนนเก็บ!O16="","",คะแนนเก็บ!O16)</f>
        <v/>
      </c>
      <c r="N13" t="str">
        <f>IF(คะแนนเก็บ!P16="","",คะแนนเก็บ!P16)</f>
        <v/>
      </c>
      <c r="O13" t="str">
        <f>IF(คะแนนเก็บ!Q16="","",คะแนนเก็บ!Q16)</f>
        <v/>
      </c>
      <c r="P13" t="str">
        <f>IF(คะแนนเก็บ!R16="","",คะแนนเก็บ!R16)</f>
        <v/>
      </c>
      <c r="Q13" t="str">
        <f>IF(คะแนนเก็บ!S16="","",คะแนนเก็บ!S16)</f>
        <v/>
      </c>
      <c r="R13" t="str">
        <f>IF(คะแนนเก็บ!T16="","",คะแนนเก็บ!T16)</f>
        <v/>
      </c>
      <c r="S13" t="str">
        <f>IF(คะแนนเก็บ!U16="","",คะแนนเก็บ!U16)</f>
        <v/>
      </c>
      <c r="T13" t="str">
        <f>IF(คะแนนเก็บ!V16="","",คะแนนเก็บ!V16)</f>
        <v/>
      </c>
      <c r="U13" t="str">
        <f>IF(คะแนนเก็บ!W16="","",คะแนนเก็บ!W16)</f>
        <v/>
      </c>
      <c r="V13" t="str">
        <f>IF(คะแนนเก็บหลังกลางภาค!D16="","",คะแนนเก็บหลังกลางภาค!D16)</f>
        <v/>
      </c>
      <c r="W13" t="str">
        <f>IF(คะแนนเก็บหลังกลางภาค!E16="","",คะแนนเก็บหลังกลางภาค!E16)</f>
        <v/>
      </c>
      <c r="X13" t="str">
        <f>IF(คะแนนเก็บหลังกลางภาค!F16="","",คะแนนเก็บหลังกลางภาค!F16)</f>
        <v/>
      </c>
      <c r="Y13" t="str">
        <f>IF(คะแนนเก็บหลังกลางภาค!G16="","",คะแนนเก็บหลังกลางภาค!G16)</f>
        <v/>
      </c>
      <c r="Z13" t="str">
        <f>IF(คะแนนเก็บหลังกลางภาค!H16="","",คะแนนเก็บหลังกลางภาค!H16)</f>
        <v/>
      </c>
      <c r="AA13" t="str">
        <f>IF(คะแนนเก็บหลังกลางภาค!I16="","",คะแนนเก็บหลังกลางภาค!I16)</f>
        <v/>
      </c>
      <c r="AB13" t="str">
        <f>IF(คะแนนเก็บหลังกลางภาค!J16="","",คะแนนเก็บหลังกลางภาค!J16)</f>
        <v/>
      </c>
      <c r="AC13" t="str">
        <f>IF(คะแนนเก็บหลังกลางภาค!K16="","",คะแนนเก็บหลังกลางภาค!K16)</f>
        <v/>
      </c>
      <c r="AD13" t="str">
        <f>IF(คะแนนเก็บหลังกลางภาค!L16="","",คะแนนเก็บหลังกลางภาค!L16)</f>
        <v/>
      </c>
      <c r="AE13" t="str">
        <f>IF(คะแนนเก็บหลังกลางภาค!M16="","",คะแนนเก็บหลังกลางภาค!M16)</f>
        <v/>
      </c>
      <c r="AF13" t="str">
        <f>IF(คะแนนเก็บหลังกลางภาค!N16="","",คะแนนเก็บหลังกลางภาค!N16)</f>
        <v/>
      </c>
      <c r="AG13" t="str">
        <f>IF(คะแนนเก็บหลังกลางภาค!O16="","",คะแนนเก็บหลังกลางภาค!O16)</f>
        <v/>
      </c>
      <c r="AH13" t="str">
        <f>IF(คะแนนเก็บหลังกลางภาค!P16="","",คะแนนเก็บหลังกลางภาค!P16)</f>
        <v/>
      </c>
      <c r="AI13" t="str">
        <f>IF(คะแนนเก็บหลังกลางภาค!Q16="","",คะแนนเก็บหลังกลางภาค!Q16)</f>
        <v/>
      </c>
      <c r="AJ13" t="str">
        <f>IF(คะแนนเก็บหลังกลางภาค!R16="","",คะแนนเก็บหลังกลางภาค!R16)</f>
        <v/>
      </c>
      <c r="AK13" t="str">
        <f>IF(คะแนนเก็บหลังกลางภาค!S16="","",คะแนนเก็บหลังกลางภาค!S16)</f>
        <v/>
      </c>
      <c r="AL13" t="str">
        <f>IF(คะแนนเก็บหลังกลางภาค!T16="","",คะแนนเก็บหลังกลางภาค!T16)</f>
        <v/>
      </c>
      <c r="AM13" t="str">
        <f>IF(คะแนนเก็บหลังกลางภาค!U16="","",คะแนนเก็บหลังกลางภาค!U16)</f>
        <v/>
      </c>
      <c r="AN13" t="str">
        <f>IF(คะแนนเก็บหลังกลางภาค!V16="","",คะแนนเก็บหลังกลางภาค!V16)</f>
        <v/>
      </c>
      <c r="AO13" t="str">
        <f>IF(คะแนนเก็บหลังกลางภาค!W16="","",คะแนนเก็บหลังกลางภาค!W16)</f>
        <v/>
      </c>
      <c r="AP13" t="str">
        <f>IF(คุณลักษณะอันพึงประสงค์!D16="","",คุณลักษณะอันพึงประสงค์!D16)</f>
        <v/>
      </c>
      <c r="AQ13" t="str">
        <f>IF(คุณลักษณะอันพึงประสงค์!E16="","",คุณลักษณะอันพึงประสงค์!E16)</f>
        <v/>
      </c>
      <c r="AR13" t="str">
        <f>IF(คุณลักษณะอันพึงประสงค์!F16="","",คุณลักษณะอันพึงประสงค์!F16)</f>
        <v/>
      </c>
      <c r="AS13" t="str">
        <f>IF(คุณลักษณะอันพึงประสงค์!G16="","",คุณลักษณะอันพึงประสงค์!G16)</f>
        <v/>
      </c>
      <c r="AT13" t="str">
        <f>IF(คุณลักษณะอันพึงประสงค์!H16="","",คุณลักษณะอันพึงประสงค์!H16)</f>
        <v/>
      </c>
      <c r="AU13" t="str">
        <f>IF(คุณลักษณะอันพึงประสงค์!I16="","",คุณลักษณะอันพึงประสงค์!I16)</f>
        <v/>
      </c>
      <c r="AV13" t="str">
        <f>IF(คุณลักษณะอันพึงประสงค์!J16="","",คุณลักษณะอันพึงประสงค์!J16)</f>
        <v/>
      </c>
      <c r="AW13" t="str">
        <f>IF(คุณลักษณะอันพึงประสงค์!K16="","",คุณลักษณะอันพึงประสงค์!K16)</f>
        <v/>
      </c>
      <c r="AX13" t="str">
        <f>IF(คุณลักษณะอันพึงประสงค์!L16="","",คุณลักษณะอันพึงประสงค์!L16)</f>
        <v/>
      </c>
      <c r="AY13" t="str">
        <f>IF(คุณลักษณะอันพึงประสงค์!M16="","",คุณลักษณะอันพึงประสงค์!M16)</f>
        <v/>
      </c>
      <c r="AZ13" t="str">
        <f>IF(กลางภาค!D16="","",กลางภาค!D16)</f>
        <v/>
      </c>
      <c r="BA13" t="str">
        <f>IF(กลางภาค!E16="","",กลางภาค!E16)</f>
        <v/>
      </c>
      <c r="BB13" t="str">
        <f>IF(กลางภาค!F16="","",กลางภาค!F16)</f>
        <v/>
      </c>
      <c r="BC13" t="str">
        <f>IF(กลางภาค!G16="","",กลางภาค!G16)</f>
        <v/>
      </c>
      <c r="BD13" t="str">
        <f>IF(กลางภาค!H16="","",กลางภาค!H16)</f>
        <v/>
      </c>
      <c r="BE13" t="str">
        <f>IF(กลางภาค!I16="","",กลางภาค!I16)</f>
        <v/>
      </c>
      <c r="BF13" t="str">
        <f>IF(กลางภาค!J16="","",กลางภาค!J16)</f>
        <v/>
      </c>
      <c r="BG13" t="str">
        <f>IF(กลางภาค!K16="","",กลางภาค!K16)</f>
        <v/>
      </c>
      <c r="BH13" t="str">
        <f>IF(กลางภาค!L16="","",กลางภาค!L16)</f>
        <v/>
      </c>
      <c r="BI13" t="str">
        <f>IF(กลางภาค!M16="","",กลางภาค!M16)</f>
        <v/>
      </c>
      <c r="BJ13" t="str">
        <f>IF(ปลายภาค!D16="","",ปลายภาค!D16)</f>
        <v/>
      </c>
      <c r="BK13" t="str">
        <f>IF(ปลายภาค!E16="","",ปลายภาค!E16)</f>
        <v/>
      </c>
      <c r="BL13" t="str">
        <f>IF(ปลายภาค!F16="","",ปลายภาค!F16)</f>
        <v/>
      </c>
      <c r="BM13" t="str">
        <f>IF(ปลายภาค!G16="","",ปลายภาค!G16)</f>
        <v/>
      </c>
      <c r="BN13" t="str">
        <f>IF(ปลายภาค!H16="","",ปลายภาค!H16)</f>
        <v/>
      </c>
      <c r="BO13" t="str">
        <f>IF(ปลายภาค!I16="","",ปลายภาค!I16)</f>
        <v/>
      </c>
      <c r="BP13" t="str">
        <f>IF(ปลายภาค!J16="","",ปลายภาค!J16)</f>
        <v/>
      </c>
      <c r="BQ13" t="str">
        <f>IF(ปลายภาค!K16="","",ปลายภาค!K16)</f>
        <v/>
      </c>
      <c r="BR13" t="str">
        <f>IF(ปลายภาค!L16="","",ปลายภาค!L16)</f>
        <v/>
      </c>
      <c r="BS13" t="str">
        <f>IF(ปลายภาค!M16="","",ปลายภาค!M16)</f>
        <v/>
      </c>
      <c r="BT13" t="str">
        <f>IF(กลางภาค!N16="","",กลางภาค!N16)</f>
        <v/>
      </c>
      <c r="BU13" t="str">
        <f>IF(ปลายภาค!N16="","",ปลายภาค!N16)</f>
        <v/>
      </c>
      <c r="BV13" t="str">
        <f>IF(คุณลักษณะอันพึงประสงค์!X16="","",คุณลักษณะอันพึงประสงค์!X16)</f>
        <v/>
      </c>
      <c r="BW13" t="str">
        <f>IF(อ่านคิดวิเคราะห์!I16="","",อ่านคิดวิเคราะห์!I16)</f>
        <v/>
      </c>
      <c r="BX13" t="str">
        <f>IF(สมรรถนะ!N16="","",สมรรถนะ!N16)</f>
        <v/>
      </c>
      <c r="BY13" t="str">
        <f>IF(อ่านคิดวิเคราะห์!D16="","",อ่านคิดวิเคราะห์!D16)</f>
        <v/>
      </c>
      <c r="BZ13" t="str">
        <f>IF(อ่านคิดวิเคราะห์!E16="","",อ่านคิดวิเคราะห์!E16)</f>
        <v/>
      </c>
      <c r="CA13" t="str">
        <f>IF(อ่านคิดวิเคราะห์!F16="","",อ่านคิดวิเคราะห์!F16)</f>
        <v/>
      </c>
      <c r="CB13" t="str">
        <f>IF(อ่านคิดวิเคราะห์!G16="","",อ่านคิดวิเคราะห์!G16)</f>
        <v/>
      </c>
      <c r="CC13" t="str">
        <f>IF(อ่านคิดวิเคราะห์!H16="","",อ่านคิดวิเคราะห์!H16)</f>
        <v/>
      </c>
      <c r="CD13" t="str">
        <f>IF(สมรรถนะ!D16="","",สมรรถนะ!D16)</f>
        <v/>
      </c>
      <c r="CE13" t="str">
        <f>IF(สมรรถนะ!E16="","",สมรรถนะ!E16)</f>
        <v/>
      </c>
      <c r="CF13" t="str">
        <f>IF(สมรรถนะ!F16="","",สมรรถนะ!F16)</f>
        <v/>
      </c>
      <c r="CG13" t="str">
        <f>IF(สมรรถนะ!G16="","",สมรรถนะ!G16)</f>
        <v/>
      </c>
      <c r="CH13" t="str">
        <f>IF(สมรรถนะ!H16="","",สมรรถนะ!H16)</f>
        <v/>
      </c>
      <c r="CI13" t="str">
        <f>IF(สมรรถนะ!I16="","",สมรรถนะ!I16)</f>
        <v/>
      </c>
      <c r="CJ13" t="str">
        <f>IF(สมรรถนะ!J16="","",สมรรถนะ!J16)</f>
        <v/>
      </c>
      <c r="CK13" t="str">
        <f>IF(สมรรถนะ!K16="","",สมรรถนะ!K16)</f>
        <v/>
      </c>
      <c r="CL13" t="str">
        <f>IF(สมรรถนะ!L16="","",สมรรถนะ!L16)</f>
        <v/>
      </c>
      <c r="CM13" t="str">
        <f>IF(สมรรถนะ!M16="","",สมรรถนะ!M16)</f>
        <v/>
      </c>
      <c r="CN13" t="str">
        <f>IF(คุณลักษณะอันพึงประสงค์!N16="","",คุณลักษณะอันพึงประสงค์!N16)</f>
        <v/>
      </c>
      <c r="CO13" t="str">
        <f>IF(คุณลักษณะอันพึงประสงค์!O16="","",คุณลักษณะอันพึงประสงค์!O16)</f>
        <v/>
      </c>
      <c r="CP13" t="str">
        <f>IF(คุณลักษณะอันพึงประสงค์!P16="","",คุณลักษณะอันพึงประสงค์!P16)</f>
        <v/>
      </c>
      <c r="CQ13" t="str">
        <f>IF(คุณลักษณะอันพึงประสงค์!Q16="","",คุณลักษณะอันพึงประสงค์!Q16)</f>
        <v/>
      </c>
      <c r="CR13" t="str">
        <f>IF(คุณลักษณะอันพึงประสงค์!R16="","",คุณลักษณะอันพึงประสงค์!R16)</f>
        <v/>
      </c>
      <c r="CS13" t="str">
        <f>IF(คุณลักษณะอันพึงประสงค์!S16="","",คุณลักษณะอันพึงประสงค์!S16)</f>
        <v/>
      </c>
      <c r="CT13" t="str">
        <f>IF(คุณลักษณะอันพึงประสงค์!T16="","",คุณลักษณะอันพึงประสงค์!T16)</f>
        <v/>
      </c>
      <c r="CU13" t="str">
        <f>IF(คุณลักษณะอันพึงประสงค์!U16="","",คุณลักษณะอันพึงประสงค์!U16)</f>
        <v/>
      </c>
      <c r="CV13" t="str">
        <f>IF(คุณลักษณะอันพึงประสงค์!V16="","",คุณลักษณะอันพึงประสงค์!V16)</f>
        <v/>
      </c>
      <c r="CW13" t="str">
        <f>IF(คุณลักษณะอันพึงประสงค์!W16="","",คุณลักษณะอันพึงประสงค์!W16)</f>
        <v/>
      </c>
    </row>
    <row r="14" spans="1:101">
      <c r="A14" t="str">
        <f>IF(คะแนนเก็บ!B17="","",คะแนนเก็บ!B17)</f>
        <v/>
      </c>
      <c r="B14" t="str">
        <f>IF(คะแนนเก็บ!D17="","",คะแนนเก็บ!D17)</f>
        <v/>
      </c>
      <c r="C14" t="str">
        <f>IF(คะแนนเก็บ!E17="","",คะแนนเก็บ!E17)</f>
        <v/>
      </c>
      <c r="D14" t="str">
        <f>IF(คะแนนเก็บ!F17="","",คะแนนเก็บ!F17)</f>
        <v/>
      </c>
      <c r="E14" t="str">
        <f>IF(คะแนนเก็บ!G17="","",คะแนนเก็บ!G17)</f>
        <v/>
      </c>
      <c r="F14" t="str">
        <f>IF(คะแนนเก็บ!H17="","",คะแนนเก็บ!H17)</f>
        <v/>
      </c>
      <c r="G14" t="str">
        <f>IF(คะแนนเก็บ!I17="","",คะแนนเก็บ!I17)</f>
        <v/>
      </c>
      <c r="H14" t="str">
        <f>IF(คะแนนเก็บ!J17="","",คะแนนเก็บ!J17)</f>
        <v/>
      </c>
      <c r="I14" t="str">
        <f>IF(คะแนนเก็บ!K17="","",คะแนนเก็บ!K17)</f>
        <v/>
      </c>
      <c r="J14" t="str">
        <f>IF(คะแนนเก็บ!L17="","",คะแนนเก็บ!L17)</f>
        <v/>
      </c>
      <c r="K14" t="str">
        <f>IF(คะแนนเก็บ!M17="","",คะแนนเก็บ!M17)</f>
        <v/>
      </c>
      <c r="L14" t="str">
        <f>IF(คะแนนเก็บ!N17="","",คะแนนเก็บ!N17)</f>
        <v/>
      </c>
      <c r="M14" t="str">
        <f>IF(คะแนนเก็บ!O17="","",คะแนนเก็บ!O17)</f>
        <v/>
      </c>
      <c r="N14" t="str">
        <f>IF(คะแนนเก็บ!P17="","",คะแนนเก็บ!P17)</f>
        <v/>
      </c>
      <c r="O14" t="str">
        <f>IF(คะแนนเก็บ!Q17="","",คะแนนเก็บ!Q17)</f>
        <v/>
      </c>
      <c r="P14" t="str">
        <f>IF(คะแนนเก็บ!R17="","",คะแนนเก็บ!R17)</f>
        <v/>
      </c>
      <c r="Q14" t="str">
        <f>IF(คะแนนเก็บ!S17="","",คะแนนเก็บ!S17)</f>
        <v/>
      </c>
      <c r="R14" t="str">
        <f>IF(คะแนนเก็บ!T17="","",คะแนนเก็บ!T17)</f>
        <v/>
      </c>
      <c r="S14" t="str">
        <f>IF(คะแนนเก็บ!U17="","",คะแนนเก็บ!U17)</f>
        <v/>
      </c>
      <c r="T14" t="str">
        <f>IF(คะแนนเก็บ!V17="","",คะแนนเก็บ!V17)</f>
        <v/>
      </c>
      <c r="U14" t="str">
        <f>IF(คะแนนเก็บ!W17="","",คะแนนเก็บ!W17)</f>
        <v/>
      </c>
      <c r="V14" t="str">
        <f>IF(คะแนนเก็บหลังกลางภาค!D17="","",คะแนนเก็บหลังกลางภาค!D17)</f>
        <v/>
      </c>
      <c r="W14" t="str">
        <f>IF(คะแนนเก็บหลังกลางภาค!E17="","",คะแนนเก็บหลังกลางภาค!E17)</f>
        <v/>
      </c>
      <c r="X14" t="str">
        <f>IF(คะแนนเก็บหลังกลางภาค!F17="","",คะแนนเก็บหลังกลางภาค!F17)</f>
        <v/>
      </c>
      <c r="Y14" t="str">
        <f>IF(คะแนนเก็บหลังกลางภาค!G17="","",คะแนนเก็บหลังกลางภาค!G17)</f>
        <v/>
      </c>
      <c r="Z14" t="str">
        <f>IF(คะแนนเก็บหลังกลางภาค!H17="","",คะแนนเก็บหลังกลางภาค!H17)</f>
        <v/>
      </c>
      <c r="AA14" t="str">
        <f>IF(คะแนนเก็บหลังกลางภาค!I17="","",คะแนนเก็บหลังกลางภาค!I17)</f>
        <v/>
      </c>
      <c r="AB14" t="str">
        <f>IF(คะแนนเก็บหลังกลางภาค!J17="","",คะแนนเก็บหลังกลางภาค!J17)</f>
        <v/>
      </c>
      <c r="AC14" t="str">
        <f>IF(คะแนนเก็บหลังกลางภาค!K17="","",คะแนนเก็บหลังกลางภาค!K17)</f>
        <v/>
      </c>
      <c r="AD14" t="str">
        <f>IF(คะแนนเก็บหลังกลางภาค!L17="","",คะแนนเก็บหลังกลางภาค!L17)</f>
        <v/>
      </c>
      <c r="AE14" t="str">
        <f>IF(คะแนนเก็บหลังกลางภาค!M17="","",คะแนนเก็บหลังกลางภาค!M17)</f>
        <v/>
      </c>
      <c r="AF14" t="str">
        <f>IF(คะแนนเก็บหลังกลางภาค!N17="","",คะแนนเก็บหลังกลางภาค!N17)</f>
        <v/>
      </c>
      <c r="AG14" t="str">
        <f>IF(คะแนนเก็บหลังกลางภาค!O17="","",คะแนนเก็บหลังกลางภาค!O17)</f>
        <v/>
      </c>
      <c r="AH14" t="str">
        <f>IF(คะแนนเก็บหลังกลางภาค!P17="","",คะแนนเก็บหลังกลางภาค!P17)</f>
        <v/>
      </c>
      <c r="AI14" t="str">
        <f>IF(คะแนนเก็บหลังกลางภาค!Q17="","",คะแนนเก็บหลังกลางภาค!Q17)</f>
        <v/>
      </c>
      <c r="AJ14" t="str">
        <f>IF(คะแนนเก็บหลังกลางภาค!R17="","",คะแนนเก็บหลังกลางภาค!R17)</f>
        <v/>
      </c>
      <c r="AK14" t="str">
        <f>IF(คะแนนเก็บหลังกลางภาค!S17="","",คะแนนเก็บหลังกลางภาค!S17)</f>
        <v/>
      </c>
      <c r="AL14" t="str">
        <f>IF(คะแนนเก็บหลังกลางภาค!T17="","",คะแนนเก็บหลังกลางภาค!T17)</f>
        <v/>
      </c>
      <c r="AM14" t="str">
        <f>IF(คะแนนเก็บหลังกลางภาค!U17="","",คะแนนเก็บหลังกลางภาค!U17)</f>
        <v/>
      </c>
      <c r="AN14" t="str">
        <f>IF(คะแนนเก็บหลังกลางภาค!V17="","",คะแนนเก็บหลังกลางภาค!V17)</f>
        <v/>
      </c>
      <c r="AO14" t="str">
        <f>IF(คะแนนเก็บหลังกลางภาค!W17="","",คะแนนเก็บหลังกลางภาค!W17)</f>
        <v/>
      </c>
      <c r="AP14" t="str">
        <f>IF(คุณลักษณะอันพึงประสงค์!D17="","",คุณลักษณะอันพึงประสงค์!D17)</f>
        <v/>
      </c>
      <c r="AQ14" t="str">
        <f>IF(คุณลักษณะอันพึงประสงค์!E17="","",คุณลักษณะอันพึงประสงค์!E17)</f>
        <v/>
      </c>
      <c r="AR14" t="str">
        <f>IF(คุณลักษณะอันพึงประสงค์!F17="","",คุณลักษณะอันพึงประสงค์!F17)</f>
        <v/>
      </c>
      <c r="AS14" t="str">
        <f>IF(คุณลักษณะอันพึงประสงค์!G17="","",คุณลักษณะอันพึงประสงค์!G17)</f>
        <v/>
      </c>
      <c r="AT14" t="str">
        <f>IF(คุณลักษณะอันพึงประสงค์!H17="","",คุณลักษณะอันพึงประสงค์!H17)</f>
        <v/>
      </c>
      <c r="AU14" t="str">
        <f>IF(คุณลักษณะอันพึงประสงค์!I17="","",คุณลักษณะอันพึงประสงค์!I17)</f>
        <v/>
      </c>
      <c r="AV14" t="str">
        <f>IF(คุณลักษณะอันพึงประสงค์!J17="","",คุณลักษณะอันพึงประสงค์!J17)</f>
        <v/>
      </c>
      <c r="AW14" t="str">
        <f>IF(คุณลักษณะอันพึงประสงค์!K17="","",คุณลักษณะอันพึงประสงค์!K17)</f>
        <v/>
      </c>
      <c r="AX14" t="str">
        <f>IF(คุณลักษณะอันพึงประสงค์!L17="","",คุณลักษณะอันพึงประสงค์!L17)</f>
        <v/>
      </c>
      <c r="AY14" t="str">
        <f>IF(คุณลักษณะอันพึงประสงค์!M17="","",คุณลักษณะอันพึงประสงค์!M17)</f>
        <v/>
      </c>
      <c r="AZ14" t="str">
        <f>IF(กลางภาค!D17="","",กลางภาค!D17)</f>
        <v/>
      </c>
      <c r="BA14" t="str">
        <f>IF(กลางภาค!E17="","",กลางภาค!E17)</f>
        <v/>
      </c>
      <c r="BB14" t="str">
        <f>IF(กลางภาค!F17="","",กลางภาค!F17)</f>
        <v/>
      </c>
      <c r="BC14" t="str">
        <f>IF(กลางภาค!G17="","",กลางภาค!G17)</f>
        <v/>
      </c>
      <c r="BD14" t="str">
        <f>IF(กลางภาค!H17="","",กลางภาค!H17)</f>
        <v/>
      </c>
      <c r="BE14" t="str">
        <f>IF(กลางภาค!I17="","",กลางภาค!I17)</f>
        <v/>
      </c>
      <c r="BF14" t="str">
        <f>IF(กลางภาค!J17="","",กลางภาค!J17)</f>
        <v/>
      </c>
      <c r="BG14" t="str">
        <f>IF(กลางภาค!K17="","",กลางภาค!K17)</f>
        <v/>
      </c>
      <c r="BH14" t="str">
        <f>IF(กลางภาค!L17="","",กลางภาค!L17)</f>
        <v/>
      </c>
      <c r="BI14" t="str">
        <f>IF(กลางภาค!M17="","",กลางภาค!M17)</f>
        <v/>
      </c>
      <c r="BJ14" t="str">
        <f>IF(ปลายภาค!D17="","",ปลายภาค!D17)</f>
        <v/>
      </c>
      <c r="BK14" t="str">
        <f>IF(ปลายภาค!E17="","",ปลายภาค!E17)</f>
        <v/>
      </c>
      <c r="BL14" t="str">
        <f>IF(ปลายภาค!F17="","",ปลายภาค!F17)</f>
        <v/>
      </c>
      <c r="BM14" t="str">
        <f>IF(ปลายภาค!G17="","",ปลายภาค!G17)</f>
        <v/>
      </c>
      <c r="BN14" t="str">
        <f>IF(ปลายภาค!H17="","",ปลายภาค!H17)</f>
        <v/>
      </c>
      <c r="BO14" t="str">
        <f>IF(ปลายภาค!I17="","",ปลายภาค!I17)</f>
        <v/>
      </c>
      <c r="BP14" t="str">
        <f>IF(ปลายภาค!J17="","",ปลายภาค!J17)</f>
        <v/>
      </c>
      <c r="BQ14" t="str">
        <f>IF(ปลายภาค!K17="","",ปลายภาค!K17)</f>
        <v/>
      </c>
      <c r="BR14" t="str">
        <f>IF(ปลายภาค!L17="","",ปลายภาค!L17)</f>
        <v/>
      </c>
      <c r="BS14" t="str">
        <f>IF(ปลายภาค!M17="","",ปลายภาค!M17)</f>
        <v/>
      </c>
      <c r="BT14" t="str">
        <f>IF(กลางภาค!N17="","",กลางภาค!N17)</f>
        <v/>
      </c>
      <c r="BU14" t="str">
        <f>IF(ปลายภาค!N17="","",ปลายภาค!N17)</f>
        <v/>
      </c>
      <c r="BV14" t="str">
        <f>IF(คุณลักษณะอันพึงประสงค์!X17="","",คุณลักษณะอันพึงประสงค์!X17)</f>
        <v/>
      </c>
      <c r="BW14" t="str">
        <f>IF(อ่านคิดวิเคราะห์!I17="","",อ่านคิดวิเคราะห์!I17)</f>
        <v/>
      </c>
      <c r="BX14" t="str">
        <f>IF(สมรรถนะ!N17="","",สมรรถนะ!N17)</f>
        <v/>
      </c>
      <c r="BY14" t="str">
        <f>IF(อ่านคิดวิเคราะห์!D17="","",อ่านคิดวิเคราะห์!D17)</f>
        <v/>
      </c>
      <c r="BZ14" t="str">
        <f>IF(อ่านคิดวิเคราะห์!E17="","",อ่านคิดวิเคราะห์!E17)</f>
        <v/>
      </c>
      <c r="CA14" t="str">
        <f>IF(อ่านคิดวิเคราะห์!F17="","",อ่านคิดวิเคราะห์!F17)</f>
        <v/>
      </c>
      <c r="CB14" t="str">
        <f>IF(อ่านคิดวิเคราะห์!G17="","",อ่านคิดวิเคราะห์!G17)</f>
        <v/>
      </c>
      <c r="CC14" t="str">
        <f>IF(อ่านคิดวิเคราะห์!H17="","",อ่านคิดวิเคราะห์!H17)</f>
        <v/>
      </c>
      <c r="CD14" t="str">
        <f>IF(สมรรถนะ!D17="","",สมรรถนะ!D17)</f>
        <v/>
      </c>
      <c r="CE14" t="str">
        <f>IF(สมรรถนะ!E17="","",สมรรถนะ!E17)</f>
        <v/>
      </c>
      <c r="CF14" t="str">
        <f>IF(สมรรถนะ!F17="","",สมรรถนะ!F17)</f>
        <v/>
      </c>
      <c r="CG14" t="str">
        <f>IF(สมรรถนะ!G17="","",สมรรถนะ!G17)</f>
        <v/>
      </c>
      <c r="CH14" t="str">
        <f>IF(สมรรถนะ!H17="","",สมรรถนะ!H17)</f>
        <v/>
      </c>
      <c r="CI14" t="str">
        <f>IF(สมรรถนะ!I17="","",สมรรถนะ!I17)</f>
        <v/>
      </c>
      <c r="CJ14" t="str">
        <f>IF(สมรรถนะ!J17="","",สมรรถนะ!J17)</f>
        <v/>
      </c>
      <c r="CK14" t="str">
        <f>IF(สมรรถนะ!K17="","",สมรรถนะ!K17)</f>
        <v/>
      </c>
      <c r="CL14" t="str">
        <f>IF(สมรรถนะ!L17="","",สมรรถนะ!L17)</f>
        <v/>
      </c>
      <c r="CM14" t="str">
        <f>IF(สมรรถนะ!M17="","",สมรรถนะ!M17)</f>
        <v/>
      </c>
      <c r="CN14" t="str">
        <f>IF(คุณลักษณะอันพึงประสงค์!N17="","",คุณลักษณะอันพึงประสงค์!N17)</f>
        <v/>
      </c>
      <c r="CO14" t="str">
        <f>IF(คุณลักษณะอันพึงประสงค์!O17="","",คุณลักษณะอันพึงประสงค์!O17)</f>
        <v/>
      </c>
      <c r="CP14" t="str">
        <f>IF(คุณลักษณะอันพึงประสงค์!P17="","",คุณลักษณะอันพึงประสงค์!P17)</f>
        <v/>
      </c>
      <c r="CQ14" t="str">
        <f>IF(คุณลักษณะอันพึงประสงค์!Q17="","",คุณลักษณะอันพึงประสงค์!Q17)</f>
        <v/>
      </c>
      <c r="CR14" t="str">
        <f>IF(คุณลักษณะอันพึงประสงค์!R17="","",คุณลักษณะอันพึงประสงค์!R17)</f>
        <v/>
      </c>
      <c r="CS14" t="str">
        <f>IF(คุณลักษณะอันพึงประสงค์!S17="","",คุณลักษณะอันพึงประสงค์!S17)</f>
        <v/>
      </c>
      <c r="CT14" t="str">
        <f>IF(คุณลักษณะอันพึงประสงค์!T17="","",คุณลักษณะอันพึงประสงค์!T17)</f>
        <v/>
      </c>
      <c r="CU14" t="str">
        <f>IF(คุณลักษณะอันพึงประสงค์!U17="","",คุณลักษณะอันพึงประสงค์!U17)</f>
        <v/>
      </c>
      <c r="CV14" t="str">
        <f>IF(คุณลักษณะอันพึงประสงค์!V17="","",คุณลักษณะอันพึงประสงค์!V17)</f>
        <v/>
      </c>
      <c r="CW14" t="str">
        <f>IF(คุณลักษณะอันพึงประสงค์!W17="","",คุณลักษณะอันพึงประสงค์!W17)</f>
        <v/>
      </c>
    </row>
    <row r="15" spans="1:101">
      <c r="A15" t="str">
        <f>IF(คะแนนเก็บ!B18="","",คะแนนเก็บ!B18)</f>
        <v/>
      </c>
      <c r="B15" t="str">
        <f>IF(คะแนนเก็บ!D18="","",คะแนนเก็บ!D18)</f>
        <v/>
      </c>
      <c r="C15" t="str">
        <f>IF(คะแนนเก็บ!E18="","",คะแนนเก็บ!E18)</f>
        <v/>
      </c>
      <c r="D15" t="str">
        <f>IF(คะแนนเก็บ!F18="","",คะแนนเก็บ!F18)</f>
        <v/>
      </c>
      <c r="E15" t="str">
        <f>IF(คะแนนเก็บ!G18="","",คะแนนเก็บ!G18)</f>
        <v/>
      </c>
      <c r="F15" t="str">
        <f>IF(คะแนนเก็บ!H18="","",คะแนนเก็บ!H18)</f>
        <v/>
      </c>
      <c r="G15" t="str">
        <f>IF(คะแนนเก็บ!I18="","",คะแนนเก็บ!I18)</f>
        <v/>
      </c>
      <c r="H15" t="str">
        <f>IF(คะแนนเก็บ!J18="","",คะแนนเก็บ!J18)</f>
        <v/>
      </c>
      <c r="I15" t="str">
        <f>IF(คะแนนเก็บ!K18="","",คะแนนเก็บ!K18)</f>
        <v/>
      </c>
      <c r="J15" t="str">
        <f>IF(คะแนนเก็บ!L18="","",คะแนนเก็บ!L18)</f>
        <v/>
      </c>
      <c r="K15" t="str">
        <f>IF(คะแนนเก็บ!M18="","",คะแนนเก็บ!M18)</f>
        <v/>
      </c>
      <c r="L15" t="str">
        <f>IF(คะแนนเก็บ!N18="","",คะแนนเก็บ!N18)</f>
        <v/>
      </c>
      <c r="M15" t="str">
        <f>IF(คะแนนเก็บ!O18="","",คะแนนเก็บ!O18)</f>
        <v/>
      </c>
      <c r="N15" t="str">
        <f>IF(คะแนนเก็บ!P18="","",คะแนนเก็บ!P18)</f>
        <v/>
      </c>
      <c r="O15" t="str">
        <f>IF(คะแนนเก็บ!Q18="","",คะแนนเก็บ!Q18)</f>
        <v/>
      </c>
      <c r="P15" t="str">
        <f>IF(คะแนนเก็บ!R18="","",คะแนนเก็บ!R18)</f>
        <v/>
      </c>
      <c r="Q15" t="str">
        <f>IF(คะแนนเก็บ!S18="","",คะแนนเก็บ!S18)</f>
        <v/>
      </c>
      <c r="R15" t="str">
        <f>IF(คะแนนเก็บ!T18="","",คะแนนเก็บ!T18)</f>
        <v/>
      </c>
      <c r="S15" t="str">
        <f>IF(คะแนนเก็บ!U18="","",คะแนนเก็บ!U18)</f>
        <v/>
      </c>
      <c r="T15" t="str">
        <f>IF(คะแนนเก็บ!V18="","",คะแนนเก็บ!V18)</f>
        <v/>
      </c>
      <c r="U15" t="str">
        <f>IF(คะแนนเก็บ!W18="","",คะแนนเก็บ!W18)</f>
        <v/>
      </c>
      <c r="V15" t="str">
        <f>IF(คะแนนเก็บหลังกลางภาค!D18="","",คะแนนเก็บหลังกลางภาค!D18)</f>
        <v/>
      </c>
      <c r="W15" t="str">
        <f>IF(คะแนนเก็บหลังกลางภาค!E18="","",คะแนนเก็บหลังกลางภาค!E18)</f>
        <v/>
      </c>
      <c r="X15" t="str">
        <f>IF(คะแนนเก็บหลังกลางภาค!F18="","",คะแนนเก็บหลังกลางภาค!F18)</f>
        <v/>
      </c>
      <c r="Y15" t="str">
        <f>IF(คะแนนเก็บหลังกลางภาค!G18="","",คะแนนเก็บหลังกลางภาค!G18)</f>
        <v/>
      </c>
      <c r="Z15" t="str">
        <f>IF(คะแนนเก็บหลังกลางภาค!H18="","",คะแนนเก็บหลังกลางภาค!H18)</f>
        <v/>
      </c>
      <c r="AA15" t="str">
        <f>IF(คะแนนเก็บหลังกลางภาค!I18="","",คะแนนเก็บหลังกลางภาค!I18)</f>
        <v/>
      </c>
      <c r="AB15" t="str">
        <f>IF(คะแนนเก็บหลังกลางภาค!J18="","",คะแนนเก็บหลังกลางภาค!J18)</f>
        <v/>
      </c>
      <c r="AC15" t="str">
        <f>IF(คะแนนเก็บหลังกลางภาค!K18="","",คะแนนเก็บหลังกลางภาค!K18)</f>
        <v/>
      </c>
      <c r="AD15" t="str">
        <f>IF(คะแนนเก็บหลังกลางภาค!L18="","",คะแนนเก็บหลังกลางภาค!L18)</f>
        <v/>
      </c>
      <c r="AE15" t="str">
        <f>IF(คะแนนเก็บหลังกลางภาค!M18="","",คะแนนเก็บหลังกลางภาค!M18)</f>
        <v/>
      </c>
      <c r="AF15" t="str">
        <f>IF(คะแนนเก็บหลังกลางภาค!N18="","",คะแนนเก็บหลังกลางภาค!N18)</f>
        <v/>
      </c>
      <c r="AG15" t="str">
        <f>IF(คะแนนเก็บหลังกลางภาค!O18="","",คะแนนเก็บหลังกลางภาค!O18)</f>
        <v/>
      </c>
      <c r="AH15" t="str">
        <f>IF(คะแนนเก็บหลังกลางภาค!P18="","",คะแนนเก็บหลังกลางภาค!P18)</f>
        <v/>
      </c>
      <c r="AI15" t="str">
        <f>IF(คะแนนเก็บหลังกลางภาค!Q18="","",คะแนนเก็บหลังกลางภาค!Q18)</f>
        <v/>
      </c>
      <c r="AJ15" t="str">
        <f>IF(คะแนนเก็บหลังกลางภาค!R18="","",คะแนนเก็บหลังกลางภาค!R18)</f>
        <v/>
      </c>
      <c r="AK15" t="str">
        <f>IF(คะแนนเก็บหลังกลางภาค!S18="","",คะแนนเก็บหลังกลางภาค!S18)</f>
        <v/>
      </c>
      <c r="AL15" t="str">
        <f>IF(คะแนนเก็บหลังกลางภาค!T18="","",คะแนนเก็บหลังกลางภาค!T18)</f>
        <v/>
      </c>
      <c r="AM15" t="str">
        <f>IF(คะแนนเก็บหลังกลางภาค!U18="","",คะแนนเก็บหลังกลางภาค!U18)</f>
        <v/>
      </c>
      <c r="AN15" t="str">
        <f>IF(คะแนนเก็บหลังกลางภาค!V18="","",คะแนนเก็บหลังกลางภาค!V18)</f>
        <v/>
      </c>
      <c r="AO15" t="str">
        <f>IF(คะแนนเก็บหลังกลางภาค!W18="","",คะแนนเก็บหลังกลางภาค!W18)</f>
        <v/>
      </c>
      <c r="AP15" t="str">
        <f>IF(คุณลักษณะอันพึงประสงค์!D18="","",คุณลักษณะอันพึงประสงค์!D18)</f>
        <v/>
      </c>
      <c r="AQ15" t="str">
        <f>IF(คุณลักษณะอันพึงประสงค์!E18="","",คุณลักษณะอันพึงประสงค์!E18)</f>
        <v/>
      </c>
      <c r="AR15" t="str">
        <f>IF(คุณลักษณะอันพึงประสงค์!F18="","",คุณลักษณะอันพึงประสงค์!F18)</f>
        <v/>
      </c>
      <c r="AS15" t="str">
        <f>IF(คุณลักษณะอันพึงประสงค์!G18="","",คุณลักษณะอันพึงประสงค์!G18)</f>
        <v/>
      </c>
      <c r="AT15" t="str">
        <f>IF(คุณลักษณะอันพึงประสงค์!H18="","",คุณลักษณะอันพึงประสงค์!H18)</f>
        <v/>
      </c>
      <c r="AU15" t="str">
        <f>IF(คุณลักษณะอันพึงประสงค์!I18="","",คุณลักษณะอันพึงประสงค์!I18)</f>
        <v/>
      </c>
      <c r="AV15" t="str">
        <f>IF(คุณลักษณะอันพึงประสงค์!J18="","",คุณลักษณะอันพึงประสงค์!J18)</f>
        <v/>
      </c>
      <c r="AW15" t="str">
        <f>IF(คุณลักษณะอันพึงประสงค์!K18="","",คุณลักษณะอันพึงประสงค์!K18)</f>
        <v/>
      </c>
      <c r="AX15" t="str">
        <f>IF(คุณลักษณะอันพึงประสงค์!L18="","",คุณลักษณะอันพึงประสงค์!L18)</f>
        <v/>
      </c>
      <c r="AY15" t="str">
        <f>IF(คุณลักษณะอันพึงประสงค์!M18="","",คุณลักษณะอันพึงประสงค์!M18)</f>
        <v/>
      </c>
      <c r="AZ15" t="str">
        <f>IF(กลางภาค!D18="","",กลางภาค!D18)</f>
        <v/>
      </c>
      <c r="BA15" t="str">
        <f>IF(กลางภาค!E18="","",กลางภาค!E18)</f>
        <v/>
      </c>
      <c r="BB15" t="str">
        <f>IF(กลางภาค!F18="","",กลางภาค!F18)</f>
        <v/>
      </c>
      <c r="BC15" t="str">
        <f>IF(กลางภาค!G18="","",กลางภาค!G18)</f>
        <v/>
      </c>
      <c r="BD15" t="str">
        <f>IF(กลางภาค!H18="","",กลางภาค!H18)</f>
        <v/>
      </c>
      <c r="BE15" t="str">
        <f>IF(กลางภาค!I18="","",กลางภาค!I18)</f>
        <v/>
      </c>
      <c r="BF15" t="str">
        <f>IF(กลางภาค!J18="","",กลางภาค!J18)</f>
        <v/>
      </c>
      <c r="BG15" t="str">
        <f>IF(กลางภาค!K18="","",กลางภาค!K18)</f>
        <v/>
      </c>
      <c r="BH15" t="str">
        <f>IF(กลางภาค!L18="","",กลางภาค!L18)</f>
        <v/>
      </c>
      <c r="BI15" t="str">
        <f>IF(กลางภาค!M18="","",กลางภาค!M18)</f>
        <v/>
      </c>
      <c r="BJ15" t="str">
        <f>IF(ปลายภาค!D18="","",ปลายภาค!D18)</f>
        <v/>
      </c>
      <c r="BK15" t="str">
        <f>IF(ปลายภาค!E18="","",ปลายภาค!E18)</f>
        <v/>
      </c>
      <c r="BL15" t="str">
        <f>IF(ปลายภาค!F18="","",ปลายภาค!F18)</f>
        <v/>
      </c>
      <c r="BM15" t="str">
        <f>IF(ปลายภาค!G18="","",ปลายภาค!G18)</f>
        <v/>
      </c>
      <c r="BN15" t="str">
        <f>IF(ปลายภาค!H18="","",ปลายภาค!H18)</f>
        <v/>
      </c>
      <c r="BO15" t="str">
        <f>IF(ปลายภาค!I18="","",ปลายภาค!I18)</f>
        <v/>
      </c>
      <c r="BP15" t="str">
        <f>IF(ปลายภาค!J18="","",ปลายภาค!J18)</f>
        <v/>
      </c>
      <c r="BQ15" t="str">
        <f>IF(ปลายภาค!K18="","",ปลายภาค!K18)</f>
        <v/>
      </c>
      <c r="BR15" t="str">
        <f>IF(ปลายภาค!L18="","",ปลายภาค!L18)</f>
        <v/>
      </c>
      <c r="BS15" t="str">
        <f>IF(ปลายภาค!M18="","",ปลายภาค!M18)</f>
        <v/>
      </c>
      <c r="BT15" t="str">
        <f>IF(กลางภาค!N18="","",กลางภาค!N18)</f>
        <v/>
      </c>
      <c r="BU15" t="str">
        <f>IF(ปลายภาค!N18="","",ปลายภาค!N18)</f>
        <v/>
      </c>
      <c r="BV15" t="str">
        <f>IF(คุณลักษณะอันพึงประสงค์!X18="","",คุณลักษณะอันพึงประสงค์!X18)</f>
        <v/>
      </c>
      <c r="BW15" t="str">
        <f>IF(อ่านคิดวิเคราะห์!I18="","",อ่านคิดวิเคราะห์!I18)</f>
        <v/>
      </c>
      <c r="BX15" t="str">
        <f>IF(สมรรถนะ!N18="","",สมรรถนะ!N18)</f>
        <v/>
      </c>
      <c r="BY15" t="str">
        <f>IF(อ่านคิดวิเคราะห์!D18="","",อ่านคิดวิเคราะห์!D18)</f>
        <v/>
      </c>
      <c r="BZ15" t="str">
        <f>IF(อ่านคิดวิเคราะห์!E18="","",อ่านคิดวิเคราะห์!E18)</f>
        <v/>
      </c>
      <c r="CA15" t="str">
        <f>IF(อ่านคิดวิเคราะห์!F18="","",อ่านคิดวิเคราะห์!F18)</f>
        <v/>
      </c>
      <c r="CB15" t="str">
        <f>IF(อ่านคิดวิเคราะห์!G18="","",อ่านคิดวิเคราะห์!G18)</f>
        <v/>
      </c>
      <c r="CC15" t="str">
        <f>IF(อ่านคิดวิเคราะห์!H18="","",อ่านคิดวิเคราะห์!H18)</f>
        <v/>
      </c>
      <c r="CD15" t="str">
        <f>IF(สมรรถนะ!D18="","",สมรรถนะ!D18)</f>
        <v/>
      </c>
      <c r="CE15" t="str">
        <f>IF(สมรรถนะ!E18="","",สมรรถนะ!E18)</f>
        <v/>
      </c>
      <c r="CF15" t="str">
        <f>IF(สมรรถนะ!F18="","",สมรรถนะ!F18)</f>
        <v/>
      </c>
      <c r="CG15" t="str">
        <f>IF(สมรรถนะ!G18="","",สมรรถนะ!G18)</f>
        <v/>
      </c>
      <c r="CH15" t="str">
        <f>IF(สมรรถนะ!H18="","",สมรรถนะ!H18)</f>
        <v/>
      </c>
      <c r="CI15" t="str">
        <f>IF(สมรรถนะ!I18="","",สมรรถนะ!I18)</f>
        <v/>
      </c>
      <c r="CJ15" t="str">
        <f>IF(สมรรถนะ!J18="","",สมรรถนะ!J18)</f>
        <v/>
      </c>
      <c r="CK15" t="str">
        <f>IF(สมรรถนะ!K18="","",สมรรถนะ!K18)</f>
        <v/>
      </c>
      <c r="CL15" t="str">
        <f>IF(สมรรถนะ!L18="","",สมรรถนะ!L18)</f>
        <v/>
      </c>
      <c r="CM15" t="str">
        <f>IF(สมรรถนะ!M18="","",สมรรถนะ!M18)</f>
        <v/>
      </c>
      <c r="CN15" t="str">
        <f>IF(คุณลักษณะอันพึงประสงค์!N18="","",คุณลักษณะอันพึงประสงค์!N18)</f>
        <v/>
      </c>
      <c r="CO15" t="str">
        <f>IF(คุณลักษณะอันพึงประสงค์!O18="","",คุณลักษณะอันพึงประสงค์!O18)</f>
        <v/>
      </c>
      <c r="CP15" t="str">
        <f>IF(คุณลักษณะอันพึงประสงค์!P18="","",คุณลักษณะอันพึงประสงค์!P18)</f>
        <v/>
      </c>
      <c r="CQ15" t="str">
        <f>IF(คุณลักษณะอันพึงประสงค์!Q18="","",คุณลักษณะอันพึงประสงค์!Q18)</f>
        <v/>
      </c>
      <c r="CR15" t="str">
        <f>IF(คุณลักษณะอันพึงประสงค์!R18="","",คุณลักษณะอันพึงประสงค์!R18)</f>
        <v/>
      </c>
      <c r="CS15" t="str">
        <f>IF(คุณลักษณะอันพึงประสงค์!S18="","",คุณลักษณะอันพึงประสงค์!S18)</f>
        <v/>
      </c>
      <c r="CT15" t="str">
        <f>IF(คุณลักษณะอันพึงประสงค์!T18="","",คุณลักษณะอันพึงประสงค์!T18)</f>
        <v/>
      </c>
      <c r="CU15" t="str">
        <f>IF(คุณลักษณะอันพึงประสงค์!U18="","",คุณลักษณะอันพึงประสงค์!U18)</f>
        <v/>
      </c>
      <c r="CV15" t="str">
        <f>IF(คุณลักษณะอันพึงประสงค์!V18="","",คุณลักษณะอันพึงประสงค์!V18)</f>
        <v/>
      </c>
      <c r="CW15" t="str">
        <f>IF(คุณลักษณะอันพึงประสงค์!W18="","",คุณลักษณะอันพึงประสงค์!W18)</f>
        <v/>
      </c>
    </row>
    <row r="16" spans="1:101">
      <c r="A16" t="str">
        <f>IF(คะแนนเก็บ!B19="","",คะแนนเก็บ!B19)</f>
        <v/>
      </c>
      <c r="B16" t="str">
        <f>IF(คะแนนเก็บ!D19="","",คะแนนเก็บ!D19)</f>
        <v/>
      </c>
      <c r="C16" t="str">
        <f>IF(คะแนนเก็บ!E19="","",คะแนนเก็บ!E19)</f>
        <v/>
      </c>
      <c r="D16" t="str">
        <f>IF(คะแนนเก็บ!F19="","",คะแนนเก็บ!F19)</f>
        <v/>
      </c>
      <c r="E16" t="str">
        <f>IF(คะแนนเก็บ!G19="","",คะแนนเก็บ!G19)</f>
        <v/>
      </c>
      <c r="F16" t="str">
        <f>IF(คะแนนเก็บ!H19="","",คะแนนเก็บ!H19)</f>
        <v/>
      </c>
      <c r="G16" t="str">
        <f>IF(คะแนนเก็บ!I19="","",คะแนนเก็บ!I19)</f>
        <v/>
      </c>
      <c r="H16" t="str">
        <f>IF(คะแนนเก็บ!J19="","",คะแนนเก็บ!J19)</f>
        <v/>
      </c>
      <c r="I16" t="str">
        <f>IF(คะแนนเก็บ!K19="","",คะแนนเก็บ!K19)</f>
        <v/>
      </c>
      <c r="J16" t="str">
        <f>IF(คะแนนเก็บ!L19="","",คะแนนเก็บ!L19)</f>
        <v/>
      </c>
      <c r="K16" t="str">
        <f>IF(คะแนนเก็บ!M19="","",คะแนนเก็บ!M19)</f>
        <v/>
      </c>
      <c r="L16" t="str">
        <f>IF(คะแนนเก็บ!N19="","",คะแนนเก็บ!N19)</f>
        <v/>
      </c>
      <c r="M16" t="str">
        <f>IF(คะแนนเก็บ!O19="","",คะแนนเก็บ!O19)</f>
        <v/>
      </c>
      <c r="N16" t="str">
        <f>IF(คะแนนเก็บ!P19="","",คะแนนเก็บ!P19)</f>
        <v/>
      </c>
      <c r="O16" t="str">
        <f>IF(คะแนนเก็บ!Q19="","",คะแนนเก็บ!Q19)</f>
        <v/>
      </c>
      <c r="P16" t="str">
        <f>IF(คะแนนเก็บ!R19="","",คะแนนเก็บ!R19)</f>
        <v/>
      </c>
      <c r="Q16" t="str">
        <f>IF(คะแนนเก็บ!S19="","",คะแนนเก็บ!S19)</f>
        <v/>
      </c>
      <c r="R16" t="str">
        <f>IF(คะแนนเก็บ!T19="","",คะแนนเก็บ!T19)</f>
        <v/>
      </c>
      <c r="S16" t="str">
        <f>IF(คะแนนเก็บ!U19="","",คะแนนเก็บ!U19)</f>
        <v/>
      </c>
      <c r="T16" t="str">
        <f>IF(คะแนนเก็บ!V19="","",คะแนนเก็บ!V19)</f>
        <v/>
      </c>
      <c r="U16" t="str">
        <f>IF(คะแนนเก็บ!W19="","",คะแนนเก็บ!W19)</f>
        <v/>
      </c>
      <c r="V16" t="str">
        <f>IF(คะแนนเก็บหลังกลางภาค!D19="","",คะแนนเก็บหลังกลางภาค!D19)</f>
        <v/>
      </c>
      <c r="W16" t="str">
        <f>IF(คะแนนเก็บหลังกลางภาค!E19="","",คะแนนเก็บหลังกลางภาค!E19)</f>
        <v/>
      </c>
      <c r="X16" t="str">
        <f>IF(คะแนนเก็บหลังกลางภาค!F19="","",คะแนนเก็บหลังกลางภาค!F19)</f>
        <v/>
      </c>
      <c r="Y16" t="str">
        <f>IF(คะแนนเก็บหลังกลางภาค!G19="","",คะแนนเก็บหลังกลางภาค!G19)</f>
        <v/>
      </c>
      <c r="Z16" t="str">
        <f>IF(คะแนนเก็บหลังกลางภาค!H19="","",คะแนนเก็บหลังกลางภาค!H19)</f>
        <v/>
      </c>
      <c r="AA16" t="str">
        <f>IF(คะแนนเก็บหลังกลางภาค!I19="","",คะแนนเก็บหลังกลางภาค!I19)</f>
        <v/>
      </c>
      <c r="AB16" t="str">
        <f>IF(คะแนนเก็บหลังกลางภาค!J19="","",คะแนนเก็บหลังกลางภาค!J19)</f>
        <v/>
      </c>
      <c r="AC16" t="str">
        <f>IF(คะแนนเก็บหลังกลางภาค!K19="","",คะแนนเก็บหลังกลางภาค!K19)</f>
        <v/>
      </c>
      <c r="AD16" t="str">
        <f>IF(คะแนนเก็บหลังกลางภาค!L19="","",คะแนนเก็บหลังกลางภาค!L19)</f>
        <v/>
      </c>
      <c r="AE16" t="str">
        <f>IF(คะแนนเก็บหลังกลางภาค!M19="","",คะแนนเก็บหลังกลางภาค!M19)</f>
        <v/>
      </c>
      <c r="AF16" t="str">
        <f>IF(คะแนนเก็บหลังกลางภาค!N19="","",คะแนนเก็บหลังกลางภาค!N19)</f>
        <v/>
      </c>
      <c r="AG16" t="str">
        <f>IF(คะแนนเก็บหลังกลางภาค!O19="","",คะแนนเก็บหลังกลางภาค!O19)</f>
        <v/>
      </c>
      <c r="AH16" t="str">
        <f>IF(คะแนนเก็บหลังกลางภาค!P19="","",คะแนนเก็บหลังกลางภาค!P19)</f>
        <v/>
      </c>
      <c r="AI16" t="str">
        <f>IF(คะแนนเก็บหลังกลางภาค!Q19="","",คะแนนเก็บหลังกลางภาค!Q19)</f>
        <v/>
      </c>
      <c r="AJ16" t="str">
        <f>IF(คะแนนเก็บหลังกลางภาค!R19="","",คะแนนเก็บหลังกลางภาค!R19)</f>
        <v/>
      </c>
      <c r="AK16" t="str">
        <f>IF(คะแนนเก็บหลังกลางภาค!S19="","",คะแนนเก็บหลังกลางภาค!S19)</f>
        <v/>
      </c>
      <c r="AL16" t="str">
        <f>IF(คะแนนเก็บหลังกลางภาค!T19="","",คะแนนเก็บหลังกลางภาค!T19)</f>
        <v/>
      </c>
      <c r="AM16" t="str">
        <f>IF(คะแนนเก็บหลังกลางภาค!U19="","",คะแนนเก็บหลังกลางภาค!U19)</f>
        <v/>
      </c>
      <c r="AN16" t="str">
        <f>IF(คะแนนเก็บหลังกลางภาค!V19="","",คะแนนเก็บหลังกลางภาค!V19)</f>
        <v/>
      </c>
      <c r="AO16" t="str">
        <f>IF(คะแนนเก็บหลังกลางภาค!W19="","",คะแนนเก็บหลังกลางภาค!W19)</f>
        <v/>
      </c>
      <c r="AP16" t="str">
        <f>IF(คุณลักษณะอันพึงประสงค์!D19="","",คุณลักษณะอันพึงประสงค์!D19)</f>
        <v/>
      </c>
      <c r="AQ16" t="str">
        <f>IF(คุณลักษณะอันพึงประสงค์!E19="","",คุณลักษณะอันพึงประสงค์!E19)</f>
        <v/>
      </c>
      <c r="AR16" t="str">
        <f>IF(คุณลักษณะอันพึงประสงค์!F19="","",คุณลักษณะอันพึงประสงค์!F19)</f>
        <v/>
      </c>
      <c r="AS16" t="str">
        <f>IF(คุณลักษณะอันพึงประสงค์!G19="","",คุณลักษณะอันพึงประสงค์!G19)</f>
        <v/>
      </c>
      <c r="AT16" t="str">
        <f>IF(คุณลักษณะอันพึงประสงค์!H19="","",คุณลักษณะอันพึงประสงค์!H19)</f>
        <v/>
      </c>
      <c r="AU16" t="str">
        <f>IF(คุณลักษณะอันพึงประสงค์!I19="","",คุณลักษณะอันพึงประสงค์!I19)</f>
        <v/>
      </c>
      <c r="AV16" t="str">
        <f>IF(คุณลักษณะอันพึงประสงค์!J19="","",คุณลักษณะอันพึงประสงค์!J19)</f>
        <v/>
      </c>
      <c r="AW16" t="str">
        <f>IF(คุณลักษณะอันพึงประสงค์!K19="","",คุณลักษณะอันพึงประสงค์!K19)</f>
        <v/>
      </c>
      <c r="AX16" t="str">
        <f>IF(คุณลักษณะอันพึงประสงค์!L19="","",คุณลักษณะอันพึงประสงค์!L19)</f>
        <v/>
      </c>
      <c r="AY16" t="str">
        <f>IF(คุณลักษณะอันพึงประสงค์!M19="","",คุณลักษณะอันพึงประสงค์!M19)</f>
        <v/>
      </c>
      <c r="AZ16" t="str">
        <f>IF(กลางภาค!D19="","",กลางภาค!D19)</f>
        <v/>
      </c>
      <c r="BA16" t="str">
        <f>IF(กลางภาค!E19="","",กลางภาค!E19)</f>
        <v/>
      </c>
      <c r="BB16" t="str">
        <f>IF(กลางภาค!F19="","",กลางภาค!F19)</f>
        <v/>
      </c>
      <c r="BC16" t="str">
        <f>IF(กลางภาค!G19="","",กลางภาค!G19)</f>
        <v/>
      </c>
      <c r="BD16" t="str">
        <f>IF(กลางภาค!H19="","",กลางภาค!H19)</f>
        <v/>
      </c>
      <c r="BE16" t="str">
        <f>IF(กลางภาค!I19="","",กลางภาค!I19)</f>
        <v/>
      </c>
      <c r="BF16" t="str">
        <f>IF(กลางภาค!J19="","",กลางภาค!J19)</f>
        <v/>
      </c>
      <c r="BG16" t="str">
        <f>IF(กลางภาค!K19="","",กลางภาค!K19)</f>
        <v/>
      </c>
      <c r="BH16" t="str">
        <f>IF(กลางภาค!L19="","",กลางภาค!L19)</f>
        <v/>
      </c>
      <c r="BI16" t="str">
        <f>IF(กลางภาค!M19="","",กลางภาค!M19)</f>
        <v/>
      </c>
      <c r="BJ16" t="str">
        <f>IF(ปลายภาค!D19="","",ปลายภาค!D19)</f>
        <v/>
      </c>
      <c r="BK16" t="str">
        <f>IF(ปลายภาค!E19="","",ปลายภาค!E19)</f>
        <v/>
      </c>
      <c r="BL16" t="str">
        <f>IF(ปลายภาค!F19="","",ปลายภาค!F19)</f>
        <v/>
      </c>
      <c r="BM16" t="str">
        <f>IF(ปลายภาค!G19="","",ปลายภาค!G19)</f>
        <v/>
      </c>
      <c r="BN16" t="str">
        <f>IF(ปลายภาค!H19="","",ปลายภาค!H19)</f>
        <v/>
      </c>
      <c r="BO16" t="str">
        <f>IF(ปลายภาค!I19="","",ปลายภาค!I19)</f>
        <v/>
      </c>
      <c r="BP16" t="str">
        <f>IF(ปลายภาค!J19="","",ปลายภาค!J19)</f>
        <v/>
      </c>
      <c r="BQ16" t="str">
        <f>IF(ปลายภาค!K19="","",ปลายภาค!K19)</f>
        <v/>
      </c>
      <c r="BR16" t="str">
        <f>IF(ปลายภาค!L19="","",ปลายภาค!L19)</f>
        <v/>
      </c>
      <c r="BS16" t="str">
        <f>IF(ปลายภาค!M19="","",ปลายภาค!M19)</f>
        <v/>
      </c>
      <c r="BT16" t="str">
        <f>IF(กลางภาค!N19="","",กลางภาค!N19)</f>
        <v/>
      </c>
      <c r="BU16" t="str">
        <f>IF(ปลายภาค!N19="","",ปลายภาค!N19)</f>
        <v/>
      </c>
      <c r="BV16" t="str">
        <f>IF(คุณลักษณะอันพึงประสงค์!X19="","",คุณลักษณะอันพึงประสงค์!X19)</f>
        <v/>
      </c>
      <c r="BW16" t="str">
        <f>IF(อ่านคิดวิเคราะห์!I19="","",อ่านคิดวิเคราะห์!I19)</f>
        <v/>
      </c>
      <c r="BX16" t="str">
        <f>IF(สมรรถนะ!N19="","",สมรรถนะ!N19)</f>
        <v/>
      </c>
      <c r="BY16" t="str">
        <f>IF(อ่านคิดวิเคราะห์!D19="","",อ่านคิดวิเคราะห์!D19)</f>
        <v/>
      </c>
      <c r="BZ16" t="str">
        <f>IF(อ่านคิดวิเคราะห์!E19="","",อ่านคิดวิเคราะห์!E19)</f>
        <v/>
      </c>
      <c r="CA16" t="str">
        <f>IF(อ่านคิดวิเคราะห์!F19="","",อ่านคิดวิเคราะห์!F19)</f>
        <v/>
      </c>
      <c r="CB16" t="str">
        <f>IF(อ่านคิดวิเคราะห์!G19="","",อ่านคิดวิเคราะห์!G19)</f>
        <v/>
      </c>
      <c r="CC16" t="str">
        <f>IF(อ่านคิดวิเคราะห์!H19="","",อ่านคิดวิเคราะห์!H19)</f>
        <v/>
      </c>
      <c r="CD16" t="str">
        <f>IF(สมรรถนะ!D19="","",สมรรถนะ!D19)</f>
        <v/>
      </c>
      <c r="CE16" t="str">
        <f>IF(สมรรถนะ!E19="","",สมรรถนะ!E19)</f>
        <v/>
      </c>
      <c r="CF16" t="str">
        <f>IF(สมรรถนะ!F19="","",สมรรถนะ!F19)</f>
        <v/>
      </c>
      <c r="CG16" t="str">
        <f>IF(สมรรถนะ!G19="","",สมรรถนะ!G19)</f>
        <v/>
      </c>
      <c r="CH16" t="str">
        <f>IF(สมรรถนะ!H19="","",สมรรถนะ!H19)</f>
        <v/>
      </c>
      <c r="CI16" t="str">
        <f>IF(สมรรถนะ!I19="","",สมรรถนะ!I19)</f>
        <v/>
      </c>
      <c r="CJ16" t="str">
        <f>IF(สมรรถนะ!J19="","",สมรรถนะ!J19)</f>
        <v/>
      </c>
      <c r="CK16" t="str">
        <f>IF(สมรรถนะ!K19="","",สมรรถนะ!K19)</f>
        <v/>
      </c>
      <c r="CL16" t="str">
        <f>IF(สมรรถนะ!L19="","",สมรรถนะ!L19)</f>
        <v/>
      </c>
      <c r="CM16" t="str">
        <f>IF(สมรรถนะ!M19="","",สมรรถนะ!M19)</f>
        <v/>
      </c>
      <c r="CN16" t="str">
        <f>IF(คุณลักษณะอันพึงประสงค์!N19="","",คุณลักษณะอันพึงประสงค์!N19)</f>
        <v/>
      </c>
      <c r="CO16" t="str">
        <f>IF(คุณลักษณะอันพึงประสงค์!O19="","",คุณลักษณะอันพึงประสงค์!O19)</f>
        <v/>
      </c>
      <c r="CP16" t="str">
        <f>IF(คุณลักษณะอันพึงประสงค์!P19="","",คุณลักษณะอันพึงประสงค์!P19)</f>
        <v/>
      </c>
      <c r="CQ16" t="str">
        <f>IF(คุณลักษณะอันพึงประสงค์!Q19="","",คุณลักษณะอันพึงประสงค์!Q19)</f>
        <v/>
      </c>
      <c r="CR16" t="str">
        <f>IF(คุณลักษณะอันพึงประสงค์!R19="","",คุณลักษณะอันพึงประสงค์!R19)</f>
        <v/>
      </c>
      <c r="CS16" t="str">
        <f>IF(คุณลักษณะอันพึงประสงค์!S19="","",คุณลักษณะอันพึงประสงค์!S19)</f>
        <v/>
      </c>
      <c r="CT16" t="str">
        <f>IF(คุณลักษณะอันพึงประสงค์!T19="","",คุณลักษณะอันพึงประสงค์!T19)</f>
        <v/>
      </c>
      <c r="CU16" t="str">
        <f>IF(คุณลักษณะอันพึงประสงค์!U19="","",คุณลักษณะอันพึงประสงค์!U19)</f>
        <v/>
      </c>
      <c r="CV16" t="str">
        <f>IF(คุณลักษณะอันพึงประสงค์!V19="","",คุณลักษณะอันพึงประสงค์!V19)</f>
        <v/>
      </c>
      <c r="CW16" t="str">
        <f>IF(คุณลักษณะอันพึงประสงค์!W19="","",คุณลักษณะอันพึงประสงค์!W19)</f>
        <v/>
      </c>
    </row>
    <row r="17" spans="1:101">
      <c r="A17" t="str">
        <f>IF(คะแนนเก็บ!B20="","",คะแนนเก็บ!B20)</f>
        <v/>
      </c>
      <c r="B17" t="str">
        <f>IF(คะแนนเก็บ!D20="","",คะแนนเก็บ!D20)</f>
        <v/>
      </c>
      <c r="C17" t="str">
        <f>IF(คะแนนเก็บ!E20="","",คะแนนเก็บ!E20)</f>
        <v/>
      </c>
      <c r="D17" t="str">
        <f>IF(คะแนนเก็บ!F20="","",คะแนนเก็บ!F20)</f>
        <v/>
      </c>
      <c r="E17" t="str">
        <f>IF(คะแนนเก็บ!G20="","",คะแนนเก็บ!G20)</f>
        <v/>
      </c>
      <c r="F17" t="str">
        <f>IF(คะแนนเก็บ!H20="","",คะแนนเก็บ!H20)</f>
        <v/>
      </c>
      <c r="G17" t="str">
        <f>IF(คะแนนเก็บ!I20="","",คะแนนเก็บ!I20)</f>
        <v/>
      </c>
      <c r="H17" t="str">
        <f>IF(คะแนนเก็บ!J20="","",คะแนนเก็บ!J20)</f>
        <v/>
      </c>
      <c r="I17" t="str">
        <f>IF(คะแนนเก็บ!K20="","",คะแนนเก็บ!K20)</f>
        <v/>
      </c>
      <c r="J17" t="str">
        <f>IF(คะแนนเก็บ!L20="","",คะแนนเก็บ!L20)</f>
        <v/>
      </c>
      <c r="K17" t="str">
        <f>IF(คะแนนเก็บ!M20="","",คะแนนเก็บ!M20)</f>
        <v/>
      </c>
      <c r="L17" t="str">
        <f>IF(คะแนนเก็บ!N20="","",คะแนนเก็บ!N20)</f>
        <v/>
      </c>
      <c r="M17" t="str">
        <f>IF(คะแนนเก็บ!O20="","",คะแนนเก็บ!O20)</f>
        <v/>
      </c>
      <c r="N17" t="str">
        <f>IF(คะแนนเก็บ!P20="","",คะแนนเก็บ!P20)</f>
        <v/>
      </c>
      <c r="O17" t="str">
        <f>IF(คะแนนเก็บ!Q20="","",คะแนนเก็บ!Q20)</f>
        <v/>
      </c>
      <c r="P17" t="str">
        <f>IF(คะแนนเก็บ!R20="","",คะแนนเก็บ!R20)</f>
        <v/>
      </c>
      <c r="Q17" t="str">
        <f>IF(คะแนนเก็บ!S20="","",คะแนนเก็บ!S20)</f>
        <v/>
      </c>
      <c r="R17" t="str">
        <f>IF(คะแนนเก็บ!T20="","",คะแนนเก็บ!T20)</f>
        <v/>
      </c>
      <c r="S17" t="str">
        <f>IF(คะแนนเก็บ!U20="","",คะแนนเก็บ!U20)</f>
        <v/>
      </c>
      <c r="T17" t="str">
        <f>IF(คะแนนเก็บ!V20="","",คะแนนเก็บ!V20)</f>
        <v/>
      </c>
      <c r="U17" t="str">
        <f>IF(คะแนนเก็บ!W20="","",คะแนนเก็บ!W20)</f>
        <v/>
      </c>
      <c r="V17" t="str">
        <f>IF(คะแนนเก็บหลังกลางภาค!D20="","",คะแนนเก็บหลังกลางภาค!D20)</f>
        <v/>
      </c>
      <c r="W17" t="str">
        <f>IF(คะแนนเก็บหลังกลางภาค!E20="","",คะแนนเก็บหลังกลางภาค!E20)</f>
        <v/>
      </c>
      <c r="X17" t="str">
        <f>IF(คะแนนเก็บหลังกลางภาค!F20="","",คะแนนเก็บหลังกลางภาค!F20)</f>
        <v/>
      </c>
      <c r="Y17" t="str">
        <f>IF(คะแนนเก็บหลังกลางภาค!G20="","",คะแนนเก็บหลังกลางภาค!G20)</f>
        <v/>
      </c>
      <c r="Z17" t="str">
        <f>IF(คะแนนเก็บหลังกลางภาค!H20="","",คะแนนเก็บหลังกลางภาค!H20)</f>
        <v/>
      </c>
      <c r="AA17" t="str">
        <f>IF(คะแนนเก็บหลังกลางภาค!I20="","",คะแนนเก็บหลังกลางภาค!I20)</f>
        <v/>
      </c>
      <c r="AB17" t="str">
        <f>IF(คะแนนเก็บหลังกลางภาค!J20="","",คะแนนเก็บหลังกลางภาค!J20)</f>
        <v/>
      </c>
      <c r="AC17" t="str">
        <f>IF(คะแนนเก็บหลังกลางภาค!K20="","",คะแนนเก็บหลังกลางภาค!K20)</f>
        <v/>
      </c>
      <c r="AD17" t="str">
        <f>IF(คะแนนเก็บหลังกลางภาค!L20="","",คะแนนเก็บหลังกลางภาค!L20)</f>
        <v/>
      </c>
      <c r="AE17" t="str">
        <f>IF(คะแนนเก็บหลังกลางภาค!M20="","",คะแนนเก็บหลังกลางภาค!M20)</f>
        <v/>
      </c>
      <c r="AF17" t="str">
        <f>IF(คะแนนเก็บหลังกลางภาค!N20="","",คะแนนเก็บหลังกลางภาค!N20)</f>
        <v/>
      </c>
      <c r="AG17" t="str">
        <f>IF(คะแนนเก็บหลังกลางภาค!O20="","",คะแนนเก็บหลังกลางภาค!O20)</f>
        <v/>
      </c>
      <c r="AH17" t="str">
        <f>IF(คะแนนเก็บหลังกลางภาค!P20="","",คะแนนเก็บหลังกลางภาค!P20)</f>
        <v/>
      </c>
      <c r="AI17" t="str">
        <f>IF(คะแนนเก็บหลังกลางภาค!Q20="","",คะแนนเก็บหลังกลางภาค!Q20)</f>
        <v/>
      </c>
      <c r="AJ17" t="str">
        <f>IF(คะแนนเก็บหลังกลางภาค!R20="","",คะแนนเก็บหลังกลางภาค!R20)</f>
        <v/>
      </c>
      <c r="AK17" t="str">
        <f>IF(คะแนนเก็บหลังกลางภาค!S20="","",คะแนนเก็บหลังกลางภาค!S20)</f>
        <v/>
      </c>
      <c r="AL17" t="str">
        <f>IF(คะแนนเก็บหลังกลางภาค!T20="","",คะแนนเก็บหลังกลางภาค!T20)</f>
        <v/>
      </c>
      <c r="AM17" t="str">
        <f>IF(คะแนนเก็บหลังกลางภาค!U20="","",คะแนนเก็บหลังกลางภาค!U20)</f>
        <v/>
      </c>
      <c r="AN17" t="str">
        <f>IF(คะแนนเก็บหลังกลางภาค!V20="","",คะแนนเก็บหลังกลางภาค!V20)</f>
        <v/>
      </c>
      <c r="AO17" t="str">
        <f>IF(คะแนนเก็บหลังกลางภาค!W20="","",คะแนนเก็บหลังกลางภาค!W20)</f>
        <v/>
      </c>
      <c r="AP17" t="str">
        <f>IF(คุณลักษณะอันพึงประสงค์!D20="","",คุณลักษณะอันพึงประสงค์!D20)</f>
        <v/>
      </c>
      <c r="AQ17" t="str">
        <f>IF(คุณลักษณะอันพึงประสงค์!E20="","",คุณลักษณะอันพึงประสงค์!E20)</f>
        <v/>
      </c>
      <c r="AR17" t="str">
        <f>IF(คุณลักษณะอันพึงประสงค์!F20="","",คุณลักษณะอันพึงประสงค์!F20)</f>
        <v/>
      </c>
      <c r="AS17" t="str">
        <f>IF(คุณลักษณะอันพึงประสงค์!G20="","",คุณลักษณะอันพึงประสงค์!G20)</f>
        <v/>
      </c>
      <c r="AT17" t="str">
        <f>IF(คุณลักษณะอันพึงประสงค์!H20="","",คุณลักษณะอันพึงประสงค์!H20)</f>
        <v/>
      </c>
      <c r="AU17" t="str">
        <f>IF(คุณลักษณะอันพึงประสงค์!I20="","",คุณลักษณะอันพึงประสงค์!I20)</f>
        <v/>
      </c>
      <c r="AV17" t="str">
        <f>IF(คุณลักษณะอันพึงประสงค์!J20="","",คุณลักษณะอันพึงประสงค์!J20)</f>
        <v/>
      </c>
      <c r="AW17" t="str">
        <f>IF(คุณลักษณะอันพึงประสงค์!K20="","",คุณลักษณะอันพึงประสงค์!K20)</f>
        <v/>
      </c>
      <c r="AX17" t="str">
        <f>IF(คุณลักษณะอันพึงประสงค์!L20="","",คุณลักษณะอันพึงประสงค์!L20)</f>
        <v/>
      </c>
      <c r="AY17" t="str">
        <f>IF(คุณลักษณะอันพึงประสงค์!M20="","",คุณลักษณะอันพึงประสงค์!M20)</f>
        <v/>
      </c>
      <c r="AZ17" t="str">
        <f>IF(กลางภาค!D20="","",กลางภาค!D20)</f>
        <v/>
      </c>
      <c r="BA17" t="str">
        <f>IF(กลางภาค!E20="","",กลางภาค!E20)</f>
        <v/>
      </c>
      <c r="BB17" t="str">
        <f>IF(กลางภาค!F20="","",กลางภาค!F20)</f>
        <v/>
      </c>
      <c r="BC17" t="str">
        <f>IF(กลางภาค!G20="","",กลางภาค!G20)</f>
        <v/>
      </c>
      <c r="BD17" t="str">
        <f>IF(กลางภาค!H20="","",กลางภาค!H20)</f>
        <v/>
      </c>
      <c r="BE17" t="str">
        <f>IF(กลางภาค!I20="","",กลางภาค!I20)</f>
        <v/>
      </c>
      <c r="BF17" t="str">
        <f>IF(กลางภาค!J20="","",กลางภาค!J20)</f>
        <v/>
      </c>
      <c r="BG17" t="str">
        <f>IF(กลางภาค!K20="","",กลางภาค!K20)</f>
        <v/>
      </c>
      <c r="BH17" t="str">
        <f>IF(กลางภาค!L20="","",กลางภาค!L20)</f>
        <v/>
      </c>
      <c r="BI17" t="str">
        <f>IF(กลางภาค!M20="","",กลางภาค!M20)</f>
        <v/>
      </c>
      <c r="BJ17" t="str">
        <f>IF(ปลายภาค!D20="","",ปลายภาค!D20)</f>
        <v/>
      </c>
      <c r="BK17" t="str">
        <f>IF(ปลายภาค!E20="","",ปลายภาค!E20)</f>
        <v/>
      </c>
      <c r="BL17" t="str">
        <f>IF(ปลายภาค!F20="","",ปลายภาค!F20)</f>
        <v/>
      </c>
      <c r="BM17" t="str">
        <f>IF(ปลายภาค!G20="","",ปลายภาค!G20)</f>
        <v/>
      </c>
      <c r="BN17" t="str">
        <f>IF(ปลายภาค!H20="","",ปลายภาค!H20)</f>
        <v/>
      </c>
      <c r="BO17" t="str">
        <f>IF(ปลายภาค!I20="","",ปลายภาค!I20)</f>
        <v/>
      </c>
      <c r="BP17" t="str">
        <f>IF(ปลายภาค!J20="","",ปลายภาค!J20)</f>
        <v/>
      </c>
      <c r="BQ17" t="str">
        <f>IF(ปลายภาค!K20="","",ปลายภาค!K20)</f>
        <v/>
      </c>
      <c r="BR17" t="str">
        <f>IF(ปลายภาค!L20="","",ปลายภาค!L20)</f>
        <v/>
      </c>
      <c r="BS17" t="str">
        <f>IF(ปลายภาค!M20="","",ปลายภาค!M20)</f>
        <v/>
      </c>
      <c r="BT17" t="str">
        <f>IF(กลางภาค!N20="","",กลางภาค!N20)</f>
        <v/>
      </c>
      <c r="BU17" t="str">
        <f>IF(ปลายภาค!N20="","",ปลายภาค!N20)</f>
        <v/>
      </c>
      <c r="BV17" t="str">
        <f>IF(คุณลักษณะอันพึงประสงค์!X20="","",คุณลักษณะอันพึงประสงค์!X20)</f>
        <v/>
      </c>
      <c r="BW17" t="str">
        <f>IF(อ่านคิดวิเคราะห์!I20="","",อ่านคิดวิเคราะห์!I20)</f>
        <v/>
      </c>
      <c r="BX17" t="str">
        <f>IF(สมรรถนะ!N20="","",สมรรถนะ!N20)</f>
        <v/>
      </c>
      <c r="BY17" t="str">
        <f>IF(อ่านคิดวิเคราะห์!D20="","",อ่านคิดวิเคราะห์!D20)</f>
        <v/>
      </c>
      <c r="BZ17" t="str">
        <f>IF(อ่านคิดวิเคราะห์!E20="","",อ่านคิดวิเคราะห์!E20)</f>
        <v/>
      </c>
      <c r="CA17" t="str">
        <f>IF(อ่านคิดวิเคราะห์!F20="","",อ่านคิดวิเคราะห์!F20)</f>
        <v/>
      </c>
      <c r="CB17" t="str">
        <f>IF(อ่านคิดวิเคราะห์!G20="","",อ่านคิดวิเคราะห์!G20)</f>
        <v/>
      </c>
      <c r="CC17" t="str">
        <f>IF(อ่านคิดวิเคราะห์!H20="","",อ่านคิดวิเคราะห์!H20)</f>
        <v/>
      </c>
      <c r="CD17" t="str">
        <f>IF(สมรรถนะ!D20="","",สมรรถนะ!D20)</f>
        <v/>
      </c>
      <c r="CE17" t="str">
        <f>IF(สมรรถนะ!E20="","",สมรรถนะ!E20)</f>
        <v/>
      </c>
      <c r="CF17" t="str">
        <f>IF(สมรรถนะ!F20="","",สมรรถนะ!F20)</f>
        <v/>
      </c>
      <c r="CG17" t="str">
        <f>IF(สมรรถนะ!G20="","",สมรรถนะ!G20)</f>
        <v/>
      </c>
      <c r="CH17" t="str">
        <f>IF(สมรรถนะ!H20="","",สมรรถนะ!H20)</f>
        <v/>
      </c>
      <c r="CI17" t="str">
        <f>IF(สมรรถนะ!I20="","",สมรรถนะ!I20)</f>
        <v/>
      </c>
      <c r="CJ17" t="str">
        <f>IF(สมรรถนะ!J20="","",สมรรถนะ!J20)</f>
        <v/>
      </c>
      <c r="CK17" t="str">
        <f>IF(สมรรถนะ!K20="","",สมรรถนะ!K20)</f>
        <v/>
      </c>
      <c r="CL17" t="str">
        <f>IF(สมรรถนะ!L20="","",สมรรถนะ!L20)</f>
        <v/>
      </c>
      <c r="CM17" t="str">
        <f>IF(สมรรถนะ!M20="","",สมรรถนะ!M20)</f>
        <v/>
      </c>
      <c r="CN17" t="str">
        <f>IF(คุณลักษณะอันพึงประสงค์!N20="","",คุณลักษณะอันพึงประสงค์!N20)</f>
        <v/>
      </c>
      <c r="CO17" t="str">
        <f>IF(คุณลักษณะอันพึงประสงค์!O20="","",คุณลักษณะอันพึงประสงค์!O20)</f>
        <v/>
      </c>
      <c r="CP17" t="str">
        <f>IF(คุณลักษณะอันพึงประสงค์!P20="","",คุณลักษณะอันพึงประสงค์!P20)</f>
        <v/>
      </c>
      <c r="CQ17" t="str">
        <f>IF(คุณลักษณะอันพึงประสงค์!Q20="","",คุณลักษณะอันพึงประสงค์!Q20)</f>
        <v/>
      </c>
      <c r="CR17" t="str">
        <f>IF(คุณลักษณะอันพึงประสงค์!R20="","",คุณลักษณะอันพึงประสงค์!R20)</f>
        <v/>
      </c>
      <c r="CS17" t="str">
        <f>IF(คุณลักษณะอันพึงประสงค์!S20="","",คุณลักษณะอันพึงประสงค์!S20)</f>
        <v/>
      </c>
      <c r="CT17" t="str">
        <f>IF(คุณลักษณะอันพึงประสงค์!T20="","",คุณลักษณะอันพึงประสงค์!T20)</f>
        <v/>
      </c>
      <c r="CU17" t="str">
        <f>IF(คุณลักษณะอันพึงประสงค์!U20="","",คุณลักษณะอันพึงประสงค์!U20)</f>
        <v/>
      </c>
      <c r="CV17" t="str">
        <f>IF(คุณลักษณะอันพึงประสงค์!V20="","",คุณลักษณะอันพึงประสงค์!V20)</f>
        <v/>
      </c>
      <c r="CW17" t="str">
        <f>IF(คุณลักษณะอันพึงประสงค์!W20="","",คุณลักษณะอันพึงประสงค์!W20)</f>
        <v/>
      </c>
    </row>
    <row r="18" spans="1:101">
      <c r="A18" t="str">
        <f>IF(คะแนนเก็บ!B21="","",คะแนนเก็บ!B21)</f>
        <v/>
      </c>
      <c r="B18" t="str">
        <f>IF(คะแนนเก็บ!D21="","",คะแนนเก็บ!D21)</f>
        <v/>
      </c>
      <c r="C18" t="str">
        <f>IF(คะแนนเก็บ!E21="","",คะแนนเก็บ!E21)</f>
        <v/>
      </c>
      <c r="D18" t="str">
        <f>IF(คะแนนเก็บ!F21="","",คะแนนเก็บ!F21)</f>
        <v/>
      </c>
      <c r="E18" t="str">
        <f>IF(คะแนนเก็บ!G21="","",คะแนนเก็บ!G21)</f>
        <v/>
      </c>
      <c r="F18" t="str">
        <f>IF(คะแนนเก็บ!H21="","",คะแนนเก็บ!H21)</f>
        <v/>
      </c>
      <c r="G18" t="str">
        <f>IF(คะแนนเก็บ!I21="","",คะแนนเก็บ!I21)</f>
        <v/>
      </c>
      <c r="H18" t="str">
        <f>IF(คะแนนเก็บ!J21="","",คะแนนเก็บ!J21)</f>
        <v/>
      </c>
      <c r="I18" t="str">
        <f>IF(คะแนนเก็บ!K21="","",คะแนนเก็บ!K21)</f>
        <v/>
      </c>
      <c r="J18" t="str">
        <f>IF(คะแนนเก็บ!L21="","",คะแนนเก็บ!L21)</f>
        <v/>
      </c>
      <c r="K18" t="str">
        <f>IF(คะแนนเก็บ!M21="","",คะแนนเก็บ!M21)</f>
        <v/>
      </c>
      <c r="L18" t="str">
        <f>IF(คะแนนเก็บ!N21="","",คะแนนเก็บ!N21)</f>
        <v/>
      </c>
      <c r="M18" t="str">
        <f>IF(คะแนนเก็บ!O21="","",คะแนนเก็บ!O21)</f>
        <v/>
      </c>
      <c r="N18" t="str">
        <f>IF(คะแนนเก็บ!P21="","",คะแนนเก็บ!P21)</f>
        <v/>
      </c>
      <c r="O18" t="str">
        <f>IF(คะแนนเก็บ!Q21="","",คะแนนเก็บ!Q21)</f>
        <v/>
      </c>
      <c r="P18" t="str">
        <f>IF(คะแนนเก็บ!R21="","",คะแนนเก็บ!R21)</f>
        <v/>
      </c>
      <c r="Q18" t="str">
        <f>IF(คะแนนเก็บ!S21="","",คะแนนเก็บ!S21)</f>
        <v/>
      </c>
      <c r="R18" t="str">
        <f>IF(คะแนนเก็บ!T21="","",คะแนนเก็บ!T21)</f>
        <v/>
      </c>
      <c r="S18" t="str">
        <f>IF(คะแนนเก็บ!U21="","",คะแนนเก็บ!U21)</f>
        <v/>
      </c>
      <c r="T18" t="str">
        <f>IF(คะแนนเก็บ!V21="","",คะแนนเก็บ!V21)</f>
        <v/>
      </c>
      <c r="U18" t="str">
        <f>IF(คะแนนเก็บ!W21="","",คะแนนเก็บ!W21)</f>
        <v/>
      </c>
      <c r="V18" t="str">
        <f>IF(คะแนนเก็บหลังกลางภาค!D21="","",คะแนนเก็บหลังกลางภาค!D21)</f>
        <v/>
      </c>
      <c r="W18" t="str">
        <f>IF(คะแนนเก็บหลังกลางภาค!E21="","",คะแนนเก็บหลังกลางภาค!E21)</f>
        <v/>
      </c>
      <c r="X18" t="str">
        <f>IF(คะแนนเก็บหลังกลางภาค!F21="","",คะแนนเก็บหลังกลางภาค!F21)</f>
        <v/>
      </c>
      <c r="Y18" t="str">
        <f>IF(คะแนนเก็บหลังกลางภาค!G21="","",คะแนนเก็บหลังกลางภาค!G21)</f>
        <v/>
      </c>
      <c r="Z18" t="str">
        <f>IF(คะแนนเก็บหลังกลางภาค!H21="","",คะแนนเก็บหลังกลางภาค!H21)</f>
        <v/>
      </c>
      <c r="AA18" t="str">
        <f>IF(คะแนนเก็บหลังกลางภาค!I21="","",คะแนนเก็บหลังกลางภาค!I21)</f>
        <v/>
      </c>
      <c r="AB18" t="str">
        <f>IF(คะแนนเก็บหลังกลางภาค!J21="","",คะแนนเก็บหลังกลางภาค!J21)</f>
        <v/>
      </c>
      <c r="AC18" t="str">
        <f>IF(คะแนนเก็บหลังกลางภาค!K21="","",คะแนนเก็บหลังกลางภาค!K21)</f>
        <v/>
      </c>
      <c r="AD18" t="str">
        <f>IF(คะแนนเก็บหลังกลางภาค!L21="","",คะแนนเก็บหลังกลางภาค!L21)</f>
        <v/>
      </c>
      <c r="AE18" t="str">
        <f>IF(คะแนนเก็บหลังกลางภาค!M21="","",คะแนนเก็บหลังกลางภาค!M21)</f>
        <v/>
      </c>
      <c r="AF18" t="str">
        <f>IF(คะแนนเก็บหลังกลางภาค!N21="","",คะแนนเก็บหลังกลางภาค!N21)</f>
        <v/>
      </c>
      <c r="AG18" t="str">
        <f>IF(คะแนนเก็บหลังกลางภาค!O21="","",คะแนนเก็บหลังกลางภาค!O21)</f>
        <v/>
      </c>
      <c r="AH18" t="str">
        <f>IF(คะแนนเก็บหลังกลางภาค!P21="","",คะแนนเก็บหลังกลางภาค!P21)</f>
        <v/>
      </c>
      <c r="AI18" t="str">
        <f>IF(คะแนนเก็บหลังกลางภาค!Q21="","",คะแนนเก็บหลังกลางภาค!Q21)</f>
        <v/>
      </c>
      <c r="AJ18" t="str">
        <f>IF(คะแนนเก็บหลังกลางภาค!R21="","",คะแนนเก็บหลังกลางภาค!R21)</f>
        <v/>
      </c>
      <c r="AK18" t="str">
        <f>IF(คะแนนเก็บหลังกลางภาค!S21="","",คะแนนเก็บหลังกลางภาค!S21)</f>
        <v/>
      </c>
      <c r="AL18" t="str">
        <f>IF(คะแนนเก็บหลังกลางภาค!T21="","",คะแนนเก็บหลังกลางภาค!T21)</f>
        <v/>
      </c>
      <c r="AM18" t="str">
        <f>IF(คะแนนเก็บหลังกลางภาค!U21="","",คะแนนเก็บหลังกลางภาค!U21)</f>
        <v/>
      </c>
      <c r="AN18" t="str">
        <f>IF(คะแนนเก็บหลังกลางภาค!V21="","",คะแนนเก็บหลังกลางภาค!V21)</f>
        <v/>
      </c>
      <c r="AO18" t="str">
        <f>IF(คะแนนเก็บหลังกลางภาค!W21="","",คะแนนเก็บหลังกลางภาค!W21)</f>
        <v/>
      </c>
      <c r="AP18" t="str">
        <f>IF(คุณลักษณะอันพึงประสงค์!D21="","",คุณลักษณะอันพึงประสงค์!D21)</f>
        <v/>
      </c>
      <c r="AQ18" t="str">
        <f>IF(คุณลักษณะอันพึงประสงค์!E21="","",คุณลักษณะอันพึงประสงค์!E21)</f>
        <v/>
      </c>
      <c r="AR18" t="str">
        <f>IF(คุณลักษณะอันพึงประสงค์!F21="","",คุณลักษณะอันพึงประสงค์!F21)</f>
        <v/>
      </c>
      <c r="AS18" t="str">
        <f>IF(คุณลักษณะอันพึงประสงค์!G21="","",คุณลักษณะอันพึงประสงค์!G21)</f>
        <v/>
      </c>
      <c r="AT18" t="str">
        <f>IF(คุณลักษณะอันพึงประสงค์!H21="","",คุณลักษณะอันพึงประสงค์!H21)</f>
        <v/>
      </c>
      <c r="AU18" t="str">
        <f>IF(คุณลักษณะอันพึงประสงค์!I21="","",คุณลักษณะอันพึงประสงค์!I21)</f>
        <v/>
      </c>
      <c r="AV18" t="str">
        <f>IF(คุณลักษณะอันพึงประสงค์!J21="","",คุณลักษณะอันพึงประสงค์!J21)</f>
        <v/>
      </c>
      <c r="AW18" t="str">
        <f>IF(คุณลักษณะอันพึงประสงค์!K21="","",คุณลักษณะอันพึงประสงค์!K21)</f>
        <v/>
      </c>
      <c r="AX18" t="str">
        <f>IF(คุณลักษณะอันพึงประสงค์!L21="","",คุณลักษณะอันพึงประสงค์!L21)</f>
        <v/>
      </c>
      <c r="AY18" t="str">
        <f>IF(คุณลักษณะอันพึงประสงค์!M21="","",คุณลักษณะอันพึงประสงค์!M21)</f>
        <v/>
      </c>
      <c r="AZ18" t="str">
        <f>IF(กลางภาค!D21="","",กลางภาค!D21)</f>
        <v/>
      </c>
      <c r="BA18" t="str">
        <f>IF(กลางภาค!E21="","",กลางภาค!E21)</f>
        <v/>
      </c>
      <c r="BB18" t="str">
        <f>IF(กลางภาค!F21="","",กลางภาค!F21)</f>
        <v/>
      </c>
      <c r="BC18" t="str">
        <f>IF(กลางภาค!G21="","",กลางภาค!G21)</f>
        <v/>
      </c>
      <c r="BD18" t="str">
        <f>IF(กลางภาค!H21="","",กลางภาค!H21)</f>
        <v/>
      </c>
      <c r="BE18" t="str">
        <f>IF(กลางภาค!I21="","",กลางภาค!I21)</f>
        <v/>
      </c>
      <c r="BF18" t="str">
        <f>IF(กลางภาค!J21="","",กลางภาค!J21)</f>
        <v/>
      </c>
      <c r="BG18" t="str">
        <f>IF(กลางภาค!K21="","",กลางภาค!K21)</f>
        <v/>
      </c>
      <c r="BH18" t="str">
        <f>IF(กลางภาค!L21="","",กลางภาค!L21)</f>
        <v/>
      </c>
      <c r="BI18" t="str">
        <f>IF(กลางภาค!M21="","",กลางภาค!M21)</f>
        <v/>
      </c>
      <c r="BJ18" t="str">
        <f>IF(ปลายภาค!D21="","",ปลายภาค!D21)</f>
        <v/>
      </c>
      <c r="BK18" t="str">
        <f>IF(ปลายภาค!E21="","",ปลายภาค!E21)</f>
        <v/>
      </c>
      <c r="BL18" t="str">
        <f>IF(ปลายภาค!F21="","",ปลายภาค!F21)</f>
        <v/>
      </c>
      <c r="BM18" t="str">
        <f>IF(ปลายภาค!G21="","",ปลายภาค!G21)</f>
        <v/>
      </c>
      <c r="BN18" t="str">
        <f>IF(ปลายภาค!H21="","",ปลายภาค!H21)</f>
        <v/>
      </c>
      <c r="BO18" t="str">
        <f>IF(ปลายภาค!I21="","",ปลายภาค!I21)</f>
        <v/>
      </c>
      <c r="BP18" t="str">
        <f>IF(ปลายภาค!J21="","",ปลายภาค!J21)</f>
        <v/>
      </c>
      <c r="BQ18" t="str">
        <f>IF(ปลายภาค!K21="","",ปลายภาค!K21)</f>
        <v/>
      </c>
      <c r="BR18" t="str">
        <f>IF(ปลายภาค!L21="","",ปลายภาค!L21)</f>
        <v/>
      </c>
      <c r="BS18" t="str">
        <f>IF(ปลายภาค!M21="","",ปลายภาค!M21)</f>
        <v/>
      </c>
      <c r="BT18" t="str">
        <f>IF(กลางภาค!N21="","",กลางภาค!N21)</f>
        <v/>
      </c>
      <c r="BU18" t="str">
        <f>IF(ปลายภาค!N21="","",ปลายภาค!N21)</f>
        <v/>
      </c>
      <c r="BV18" t="str">
        <f>IF(คุณลักษณะอันพึงประสงค์!X21="","",คุณลักษณะอันพึงประสงค์!X21)</f>
        <v/>
      </c>
      <c r="BW18" t="str">
        <f>IF(อ่านคิดวิเคราะห์!I21="","",อ่านคิดวิเคราะห์!I21)</f>
        <v/>
      </c>
      <c r="BX18" t="str">
        <f>IF(สมรรถนะ!N21="","",สมรรถนะ!N21)</f>
        <v/>
      </c>
      <c r="BY18" t="str">
        <f>IF(อ่านคิดวิเคราะห์!D21="","",อ่านคิดวิเคราะห์!D21)</f>
        <v/>
      </c>
      <c r="BZ18" t="str">
        <f>IF(อ่านคิดวิเคราะห์!E21="","",อ่านคิดวิเคราะห์!E21)</f>
        <v/>
      </c>
      <c r="CA18" t="str">
        <f>IF(อ่านคิดวิเคราะห์!F21="","",อ่านคิดวิเคราะห์!F21)</f>
        <v/>
      </c>
      <c r="CB18" t="str">
        <f>IF(อ่านคิดวิเคราะห์!G21="","",อ่านคิดวิเคราะห์!G21)</f>
        <v/>
      </c>
      <c r="CC18" t="str">
        <f>IF(อ่านคิดวิเคราะห์!H21="","",อ่านคิดวิเคราะห์!H21)</f>
        <v/>
      </c>
      <c r="CD18" t="str">
        <f>IF(สมรรถนะ!D21="","",สมรรถนะ!D21)</f>
        <v/>
      </c>
      <c r="CE18" t="str">
        <f>IF(สมรรถนะ!E21="","",สมรรถนะ!E21)</f>
        <v/>
      </c>
      <c r="CF18" t="str">
        <f>IF(สมรรถนะ!F21="","",สมรรถนะ!F21)</f>
        <v/>
      </c>
      <c r="CG18" t="str">
        <f>IF(สมรรถนะ!G21="","",สมรรถนะ!G21)</f>
        <v/>
      </c>
      <c r="CH18" t="str">
        <f>IF(สมรรถนะ!H21="","",สมรรถนะ!H21)</f>
        <v/>
      </c>
      <c r="CI18" t="str">
        <f>IF(สมรรถนะ!I21="","",สมรรถนะ!I21)</f>
        <v/>
      </c>
      <c r="CJ18" t="str">
        <f>IF(สมรรถนะ!J21="","",สมรรถนะ!J21)</f>
        <v/>
      </c>
      <c r="CK18" t="str">
        <f>IF(สมรรถนะ!K21="","",สมรรถนะ!K21)</f>
        <v/>
      </c>
      <c r="CL18" t="str">
        <f>IF(สมรรถนะ!L21="","",สมรรถนะ!L21)</f>
        <v/>
      </c>
      <c r="CM18" t="str">
        <f>IF(สมรรถนะ!M21="","",สมรรถนะ!M21)</f>
        <v/>
      </c>
      <c r="CN18" t="str">
        <f>IF(คุณลักษณะอันพึงประสงค์!N21="","",คุณลักษณะอันพึงประสงค์!N21)</f>
        <v/>
      </c>
      <c r="CO18" t="str">
        <f>IF(คุณลักษณะอันพึงประสงค์!O21="","",คุณลักษณะอันพึงประสงค์!O21)</f>
        <v/>
      </c>
      <c r="CP18" t="str">
        <f>IF(คุณลักษณะอันพึงประสงค์!P21="","",คุณลักษณะอันพึงประสงค์!P21)</f>
        <v/>
      </c>
      <c r="CQ18" t="str">
        <f>IF(คุณลักษณะอันพึงประสงค์!Q21="","",คุณลักษณะอันพึงประสงค์!Q21)</f>
        <v/>
      </c>
      <c r="CR18" t="str">
        <f>IF(คุณลักษณะอันพึงประสงค์!R21="","",คุณลักษณะอันพึงประสงค์!R21)</f>
        <v/>
      </c>
      <c r="CS18" t="str">
        <f>IF(คุณลักษณะอันพึงประสงค์!S21="","",คุณลักษณะอันพึงประสงค์!S21)</f>
        <v/>
      </c>
      <c r="CT18" t="str">
        <f>IF(คุณลักษณะอันพึงประสงค์!T21="","",คุณลักษณะอันพึงประสงค์!T21)</f>
        <v/>
      </c>
      <c r="CU18" t="str">
        <f>IF(คุณลักษณะอันพึงประสงค์!U21="","",คุณลักษณะอันพึงประสงค์!U21)</f>
        <v/>
      </c>
      <c r="CV18" t="str">
        <f>IF(คุณลักษณะอันพึงประสงค์!V21="","",คุณลักษณะอันพึงประสงค์!V21)</f>
        <v/>
      </c>
      <c r="CW18" t="str">
        <f>IF(คุณลักษณะอันพึงประสงค์!W21="","",คุณลักษณะอันพึงประสงค์!W21)</f>
        <v/>
      </c>
    </row>
    <row r="19" spans="1:101">
      <c r="A19" t="str">
        <f>IF(คะแนนเก็บ!B22="","",คะแนนเก็บ!B22)</f>
        <v/>
      </c>
      <c r="B19" t="str">
        <f>IF(คะแนนเก็บ!D22="","",คะแนนเก็บ!D22)</f>
        <v/>
      </c>
      <c r="C19" t="str">
        <f>IF(คะแนนเก็บ!E22="","",คะแนนเก็บ!E22)</f>
        <v/>
      </c>
      <c r="D19" t="str">
        <f>IF(คะแนนเก็บ!F22="","",คะแนนเก็บ!F22)</f>
        <v/>
      </c>
      <c r="E19" t="str">
        <f>IF(คะแนนเก็บ!G22="","",คะแนนเก็บ!G22)</f>
        <v/>
      </c>
      <c r="F19" t="str">
        <f>IF(คะแนนเก็บ!H22="","",คะแนนเก็บ!H22)</f>
        <v/>
      </c>
      <c r="G19" t="str">
        <f>IF(คะแนนเก็บ!I22="","",คะแนนเก็บ!I22)</f>
        <v/>
      </c>
      <c r="H19" t="str">
        <f>IF(คะแนนเก็บ!J22="","",คะแนนเก็บ!J22)</f>
        <v/>
      </c>
      <c r="I19" t="str">
        <f>IF(คะแนนเก็บ!K22="","",คะแนนเก็บ!K22)</f>
        <v/>
      </c>
      <c r="J19" t="str">
        <f>IF(คะแนนเก็บ!L22="","",คะแนนเก็บ!L22)</f>
        <v/>
      </c>
      <c r="K19" t="str">
        <f>IF(คะแนนเก็บ!M22="","",คะแนนเก็บ!M22)</f>
        <v/>
      </c>
      <c r="L19" t="str">
        <f>IF(คะแนนเก็บ!N22="","",คะแนนเก็บ!N22)</f>
        <v/>
      </c>
      <c r="M19" t="str">
        <f>IF(คะแนนเก็บ!O22="","",คะแนนเก็บ!O22)</f>
        <v/>
      </c>
      <c r="N19" t="str">
        <f>IF(คะแนนเก็บ!P22="","",คะแนนเก็บ!P22)</f>
        <v/>
      </c>
      <c r="O19" t="str">
        <f>IF(คะแนนเก็บ!Q22="","",คะแนนเก็บ!Q22)</f>
        <v/>
      </c>
      <c r="P19" t="str">
        <f>IF(คะแนนเก็บ!R22="","",คะแนนเก็บ!R22)</f>
        <v/>
      </c>
      <c r="Q19" t="str">
        <f>IF(คะแนนเก็บ!S22="","",คะแนนเก็บ!S22)</f>
        <v/>
      </c>
      <c r="R19" t="str">
        <f>IF(คะแนนเก็บ!T22="","",คะแนนเก็บ!T22)</f>
        <v/>
      </c>
      <c r="S19" t="str">
        <f>IF(คะแนนเก็บ!U22="","",คะแนนเก็บ!U22)</f>
        <v/>
      </c>
      <c r="T19" t="str">
        <f>IF(คะแนนเก็บ!V22="","",คะแนนเก็บ!V22)</f>
        <v/>
      </c>
      <c r="U19" t="str">
        <f>IF(คะแนนเก็บ!W22="","",คะแนนเก็บ!W22)</f>
        <v/>
      </c>
      <c r="V19" t="str">
        <f>IF(คะแนนเก็บหลังกลางภาค!D22="","",คะแนนเก็บหลังกลางภาค!D22)</f>
        <v/>
      </c>
      <c r="W19" t="str">
        <f>IF(คะแนนเก็บหลังกลางภาค!E22="","",คะแนนเก็บหลังกลางภาค!E22)</f>
        <v/>
      </c>
      <c r="X19" t="str">
        <f>IF(คะแนนเก็บหลังกลางภาค!F22="","",คะแนนเก็บหลังกลางภาค!F22)</f>
        <v/>
      </c>
      <c r="Y19" t="str">
        <f>IF(คะแนนเก็บหลังกลางภาค!G22="","",คะแนนเก็บหลังกลางภาค!G22)</f>
        <v/>
      </c>
      <c r="Z19" t="str">
        <f>IF(คะแนนเก็บหลังกลางภาค!H22="","",คะแนนเก็บหลังกลางภาค!H22)</f>
        <v/>
      </c>
      <c r="AA19" t="str">
        <f>IF(คะแนนเก็บหลังกลางภาค!I22="","",คะแนนเก็บหลังกลางภาค!I22)</f>
        <v/>
      </c>
      <c r="AB19" t="str">
        <f>IF(คะแนนเก็บหลังกลางภาค!J22="","",คะแนนเก็บหลังกลางภาค!J22)</f>
        <v/>
      </c>
      <c r="AC19" t="str">
        <f>IF(คะแนนเก็บหลังกลางภาค!K22="","",คะแนนเก็บหลังกลางภาค!K22)</f>
        <v/>
      </c>
      <c r="AD19" t="str">
        <f>IF(คะแนนเก็บหลังกลางภาค!L22="","",คะแนนเก็บหลังกลางภาค!L22)</f>
        <v/>
      </c>
      <c r="AE19" t="str">
        <f>IF(คะแนนเก็บหลังกลางภาค!M22="","",คะแนนเก็บหลังกลางภาค!M22)</f>
        <v/>
      </c>
      <c r="AF19" t="str">
        <f>IF(คะแนนเก็บหลังกลางภาค!N22="","",คะแนนเก็บหลังกลางภาค!N22)</f>
        <v/>
      </c>
      <c r="AG19" t="str">
        <f>IF(คะแนนเก็บหลังกลางภาค!O22="","",คะแนนเก็บหลังกลางภาค!O22)</f>
        <v/>
      </c>
      <c r="AH19" t="str">
        <f>IF(คะแนนเก็บหลังกลางภาค!P22="","",คะแนนเก็บหลังกลางภาค!P22)</f>
        <v/>
      </c>
      <c r="AI19" t="str">
        <f>IF(คะแนนเก็บหลังกลางภาค!Q22="","",คะแนนเก็บหลังกลางภาค!Q22)</f>
        <v/>
      </c>
      <c r="AJ19" t="str">
        <f>IF(คะแนนเก็บหลังกลางภาค!R22="","",คะแนนเก็บหลังกลางภาค!R22)</f>
        <v/>
      </c>
      <c r="AK19" t="str">
        <f>IF(คะแนนเก็บหลังกลางภาค!S22="","",คะแนนเก็บหลังกลางภาค!S22)</f>
        <v/>
      </c>
      <c r="AL19" t="str">
        <f>IF(คะแนนเก็บหลังกลางภาค!T22="","",คะแนนเก็บหลังกลางภาค!T22)</f>
        <v/>
      </c>
      <c r="AM19" t="str">
        <f>IF(คะแนนเก็บหลังกลางภาค!U22="","",คะแนนเก็บหลังกลางภาค!U22)</f>
        <v/>
      </c>
      <c r="AN19" t="str">
        <f>IF(คะแนนเก็บหลังกลางภาค!V22="","",คะแนนเก็บหลังกลางภาค!V22)</f>
        <v/>
      </c>
      <c r="AO19" t="str">
        <f>IF(คะแนนเก็บหลังกลางภาค!W22="","",คะแนนเก็บหลังกลางภาค!W22)</f>
        <v/>
      </c>
      <c r="AP19" t="str">
        <f>IF(คุณลักษณะอันพึงประสงค์!D22="","",คุณลักษณะอันพึงประสงค์!D22)</f>
        <v/>
      </c>
      <c r="AQ19" t="str">
        <f>IF(คุณลักษณะอันพึงประสงค์!E22="","",คุณลักษณะอันพึงประสงค์!E22)</f>
        <v/>
      </c>
      <c r="AR19" t="str">
        <f>IF(คุณลักษณะอันพึงประสงค์!F22="","",คุณลักษณะอันพึงประสงค์!F22)</f>
        <v/>
      </c>
      <c r="AS19" t="str">
        <f>IF(คุณลักษณะอันพึงประสงค์!G22="","",คุณลักษณะอันพึงประสงค์!G22)</f>
        <v/>
      </c>
      <c r="AT19" t="str">
        <f>IF(คุณลักษณะอันพึงประสงค์!H22="","",คุณลักษณะอันพึงประสงค์!H22)</f>
        <v/>
      </c>
      <c r="AU19" t="str">
        <f>IF(คุณลักษณะอันพึงประสงค์!I22="","",คุณลักษณะอันพึงประสงค์!I22)</f>
        <v/>
      </c>
      <c r="AV19" t="str">
        <f>IF(คุณลักษณะอันพึงประสงค์!J22="","",คุณลักษณะอันพึงประสงค์!J22)</f>
        <v/>
      </c>
      <c r="AW19" t="str">
        <f>IF(คุณลักษณะอันพึงประสงค์!K22="","",คุณลักษณะอันพึงประสงค์!K22)</f>
        <v/>
      </c>
      <c r="AX19" t="str">
        <f>IF(คุณลักษณะอันพึงประสงค์!L22="","",คุณลักษณะอันพึงประสงค์!L22)</f>
        <v/>
      </c>
      <c r="AY19" t="str">
        <f>IF(คุณลักษณะอันพึงประสงค์!M22="","",คุณลักษณะอันพึงประสงค์!M22)</f>
        <v/>
      </c>
      <c r="AZ19" t="str">
        <f>IF(กลางภาค!D22="","",กลางภาค!D22)</f>
        <v/>
      </c>
      <c r="BA19" t="str">
        <f>IF(กลางภาค!E22="","",กลางภาค!E22)</f>
        <v/>
      </c>
      <c r="BB19" t="str">
        <f>IF(กลางภาค!F22="","",กลางภาค!F22)</f>
        <v/>
      </c>
      <c r="BC19" t="str">
        <f>IF(กลางภาค!G22="","",กลางภาค!G22)</f>
        <v/>
      </c>
      <c r="BD19" t="str">
        <f>IF(กลางภาค!H22="","",กลางภาค!H22)</f>
        <v/>
      </c>
      <c r="BE19" t="str">
        <f>IF(กลางภาค!I22="","",กลางภาค!I22)</f>
        <v/>
      </c>
      <c r="BF19" t="str">
        <f>IF(กลางภาค!J22="","",กลางภาค!J22)</f>
        <v/>
      </c>
      <c r="BG19" t="str">
        <f>IF(กลางภาค!K22="","",กลางภาค!K22)</f>
        <v/>
      </c>
      <c r="BH19" t="str">
        <f>IF(กลางภาค!L22="","",กลางภาค!L22)</f>
        <v/>
      </c>
      <c r="BI19" t="str">
        <f>IF(กลางภาค!M22="","",กลางภาค!M22)</f>
        <v/>
      </c>
      <c r="BJ19" t="str">
        <f>IF(ปลายภาค!D22="","",ปลายภาค!D22)</f>
        <v/>
      </c>
      <c r="BK19" t="str">
        <f>IF(ปลายภาค!E22="","",ปลายภาค!E22)</f>
        <v/>
      </c>
      <c r="BL19" t="str">
        <f>IF(ปลายภาค!F22="","",ปลายภาค!F22)</f>
        <v/>
      </c>
      <c r="BM19" t="str">
        <f>IF(ปลายภาค!G22="","",ปลายภาค!G22)</f>
        <v/>
      </c>
      <c r="BN19" t="str">
        <f>IF(ปลายภาค!H22="","",ปลายภาค!H22)</f>
        <v/>
      </c>
      <c r="BO19" t="str">
        <f>IF(ปลายภาค!I22="","",ปลายภาค!I22)</f>
        <v/>
      </c>
      <c r="BP19" t="str">
        <f>IF(ปลายภาค!J22="","",ปลายภาค!J22)</f>
        <v/>
      </c>
      <c r="BQ19" t="str">
        <f>IF(ปลายภาค!K22="","",ปลายภาค!K22)</f>
        <v/>
      </c>
      <c r="BR19" t="str">
        <f>IF(ปลายภาค!L22="","",ปลายภาค!L22)</f>
        <v/>
      </c>
      <c r="BS19" t="str">
        <f>IF(ปลายภาค!M22="","",ปลายภาค!M22)</f>
        <v/>
      </c>
      <c r="BT19" t="str">
        <f>IF(กลางภาค!N22="","",กลางภาค!N22)</f>
        <v/>
      </c>
      <c r="BU19" t="str">
        <f>IF(ปลายภาค!N22="","",ปลายภาค!N22)</f>
        <v/>
      </c>
      <c r="BV19" t="str">
        <f>IF(คุณลักษณะอันพึงประสงค์!X22="","",คุณลักษณะอันพึงประสงค์!X22)</f>
        <v/>
      </c>
      <c r="BW19" t="str">
        <f>IF(อ่านคิดวิเคราะห์!I22="","",อ่านคิดวิเคราะห์!I22)</f>
        <v/>
      </c>
      <c r="BX19" t="str">
        <f>IF(สมรรถนะ!N22="","",สมรรถนะ!N22)</f>
        <v/>
      </c>
      <c r="BY19" t="str">
        <f>IF(อ่านคิดวิเคราะห์!D22="","",อ่านคิดวิเคราะห์!D22)</f>
        <v/>
      </c>
      <c r="BZ19" t="str">
        <f>IF(อ่านคิดวิเคราะห์!E22="","",อ่านคิดวิเคราะห์!E22)</f>
        <v/>
      </c>
      <c r="CA19" t="str">
        <f>IF(อ่านคิดวิเคราะห์!F22="","",อ่านคิดวิเคราะห์!F22)</f>
        <v/>
      </c>
      <c r="CB19" t="str">
        <f>IF(อ่านคิดวิเคราะห์!G22="","",อ่านคิดวิเคราะห์!G22)</f>
        <v/>
      </c>
      <c r="CC19" t="str">
        <f>IF(อ่านคิดวิเคราะห์!H22="","",อ่านคิดวิเคราะห์!H22)</f>
        <v/>
      </c>
      <c r="CD19" t="str">
        <f>IF(สมรรถนะ!D22="","",สมรรถนะ!D22)</f>
        <v/>
      </c>
      <c r="CE19" t="str">
        <f>IF(สมรรถนะ!E22="","",สมรรถนะ!E22)</f>
        <v/>
      </c>
      <c r="CF19" t="str">
        <f>IF(สมรรถนะ!F22="","",สมรรถนะ!F22)</f>
        <v/>
      </c>
      <c r="CG19" t="str">
        <f>IF(สมรรถนะ!G22="","",สมรรถนะ!G22)</f>
        <v/>
      </c>
      <c r="CH19" t="str">
        <f>IF(สมรรถนะ!H22="","",สมรรถนะ!H22)</f>
        <v/>
      </c>
      <c r="CI19" t="str">
        <f>IF(สมรรถนะ!I22="","",สมรรถนะ!I22)</f>
        <v/>
      </c>
      <c r="CJ19" t="str">
        <f>IF(สมรรถนะ!J22="","",สมรรถนะ!J22)</f>
        <v/>
      </c>
      <c r="CK19" t="str">
        <f>IF(สมรรถนะ!K22="","",สมรรถนะ!K22)</f>
        <v/>
      </c>
      <c r="CL19" t="str">
        <f>IF(สมรรถนะ!L22="","",สมรรถนะ!L22)</f>
        <v/>
      </c>
      <c r="CM19" t="str">
        <f>IF(สมรรถนะ!M22="","",สมรรถนะ!M22)</f>
        <v/>
      </c>
      <c r="CN19" t="str">
        <f>IF(คุณลักษณะอันพึงประสงค์!N22="","",คุณลักษณะอันพึงประสงค์!N22)</f>
        <v/>
      </c>
      <c r="CO19" t="str">
        <f>IF(คุณลักษณะอันพึงประสงค์!O22="","",คุณลักษณะอันพึงประสงค์!O22)</f>
        <v/>
      </c>
      <c r="CP19" t="str">
        <f>IF(คุณลักษณะอันพึงประสงค์!P22="","",คุณลักษณะอันพึงประสงค์!P22)</f>
        <v/>
      </c>
      <c r="CQ19" t="str">
        <f>IF(คุณลักษณะอันพึงประสงค์!Q22="","",คุณลักษณะอันพึงประสงค์!Q22)</f>
        <v/>
      </c>
      <c r="CR19" t="str">
        <f>IF(คุณลักษณะอันพึงประสงค์!R22="","",คุณลักษณะอันพึงประสงค์!R22)</f>
        <v/>
      </c>
      <c r="CS19" t="str">
        <f>IF(คุณลักษณะอันพึงประสงค์!S22="","",คุณลักษณะอันพึงประสงค์!S22)</f>
        <v/>
      </c>
      <c r="CT19" t="str">
        <f>IF(คุณลักษณะอันพึงประสงค์!T22="","",คุณลักษณะอันพึงประสงค์!T22)</f>
        <v/>
      </c>
      <c r="CU19" t="str">
        <f>IF(คุณลักษณะอันพึงประสงค์!U22="","",คุณลักษณะอันพึงประสงค์!U22)</f>
        <v/>
      </c>
      <c r="CV19" t="str">
        <f>IF(คุณลักษณะอันพึงประสงค์!V22="","",คุณลักษณะอันพึงประสงค์!V22)</f>
        <v/>
      </c>
      <c r="CW19" t="str">
        <f>IF(คุณลักษณะอันพึงประสงค์!W22="","",คุณลักษณะอันพึงประสงค์!W22)</f>
        <v/>
      </c>
    </row>
    <row r="20" spans="1:101">
      <c r="A20" t="str">
        <f>IF(คะแนนเก็บ!B23="","",คะแนนเก็บ!B23)</f>
        <v/>
      </c>
      <c r="B20" t="str">
        <f>IF(คะแนนเก็บ!D23="","",คะแนนเก็บ!D23)</f>
        <v/>
      </c>
      <c r="C20" t="str">
        <f>IF(คะแนนเก็บ!E23="","",คะแนนเก็บ!E23)</f>
        <v/>
      </c>
      <c r="D20" t="str">
        <f>IF(คะแนนเก็บ!F23="","",คะแนนเก็บ!F23)</f>
        <v/>
      </c>
      <c r="E20" t="str">
        <f>IF(คะแนนเก็บ!G23="","",คะแนนเก็บ!G23)</f>
        <v/>
      </c>
      <c r="F20" t="str">
        <f>IF(คะแนนเก็บ!H23="","",คะแนนเก็บ!H23)</f>
        <v/>
      </c>
      <c r="G20" t="str">
        <f>IF(คะแนนเก็บ!I23="","",คะแนนเก็บ!I23)</f>
        <v/>
      </c>
      <c r="H20" t="str">
        <f>IF(คะแนนเก็บ!J23="","",คะแนนเก็บ!J23)</f>
        <v/>
      </c>
      <c r="I20" t="str">
        <f>IF(คะแนนเก็บ!K23="","",คะแนนเก็บ!K23)</f>
        <v/>
      </c>
      <c r="J20" t="str">
        <f>IF(คะแนนเก็บ!L23="","",คะแนนเก็บ!L23)</f>
        <v/>
      </c>
      <c r="K20" t="str">
        <f>IF(คะแนนเก็บ!M23="","",คะแนนเก็บ!M23)</f>
        <v/>
      </c>
      <c r="L20" t="str">
        <f>IF(คะแนนเก็บ!N23="","",คะแนนเก็บ!N23)</f>
        <v/>
      </c>
      <c r="M20" t="str">
        <f>IF(คะแนนเก็บ!O23="","",คะแนนเก็บ!O23)</f>
        <v/>
      </c>
      <c r="N20" t="str">
        <f>IF(คะแนนเก็บ!P23="","",คะแนนเก็บ!P23)</f>
        <v/>
      </c>
      <c r="O20" t="str">
        <f>IF(คะแนนเก็บ!Q23="","",คะแนนเก็บ!Q23)</f>
        <v/>
      </c>
      <c r="P20" t="str">
        <f>IF(คะแนนเก็บ!R23="","",คะแนนเก็บ!R23)</f>
        <v/>
      </c>
      <c r="Q20" t="str">
        <f>IF(คะแนนเก็บ!S23="","",คะแนนเก็บ!S23)</f>
        <v/>
      </c>
      <c r="R20" t="str">
        <f>IF(คะแนนเก็บ!T23="","",คะแนนเก็บ!T23)</f>
        <v/>
      </c>
      <c r="S20" t="str">
        <f>IF(คะแนนเก็บ!U23="","",คะแนนเก็บ!U23)</f>
        <v/>
      </c>
      <c r="T20" t="str">
        <f>IF(คะแนนเก็บ!V23="","",คะแนนเก็บ!V23)</f>
        <v/>
      </c>
      <c r="U20" t="str">
        <f>IF(คะแนนเก็บ!W23="","",คะแนนเก็บ!W23)</f>
        <v/>
      </c>
      <c r="V20" t="str">
        <f>IF(คะแนนเก็บหลังกลางภาค!D23="","",คะแนนเก็บหลังกลางภาค!D23)</f>
        <v/>
      </c>
      <c r="W20" t="str">
        <f>IF(คะแนนเก็บหลังกลางภาค!E23="","",คะแนนเก็บหลังกลางภาค!E23)</f>
        <v/>
      </c>
      <c r="X20" t="str">
        <f>IF(คะแนนเก็บหลังกลางภาค!F23="","",คะแนนเก็บหลังกลางภาค!F23)</f>
        <v/>
      </c>
      <c r="Y20" t="str">
        <f>IF(คะแนนเก็บหลังกลางภาค!G23="","",คะแนนเก็บหลังกลางภาค!G23)</f>
        <v/>
      </c>
      <c r="Z20" t="str">
        <f>IF(คะแนนเก็บหลังกลางภาค!H23="","",คะแนนเก็บหลังกลางภาค!H23)</f>
        <v/>
      </c>
      <c r="AA20" t="str">
        <f>IF(คะแนนเก็บหลังกลางภาค!I23="","",คะแนนเก็บหลังกลางภาค!I23)</f>
        <v/>
      </c>
      <c r="AB20" t="str">
        <f>IF(คะแนนเก็บหลังกลางภาค!J23="","",คะแนนเก็บหลังกลางภาค!J23)</f>
        <v/>
      </c>
      <c r="AC20" t="str">
        <f>IF(คะแนนเก็บหลังกลางภาค!K23="","",คะแนนเก็บหลังกลางภาค!K23)</f>
        <v/>
      </c>
      <c r="AD20" t="str">
        <f>IF(คะแนนเก็บหลังกลางภาค!L23="","",คะแนนเก็บหลังกลางภาค!L23)</f>
        <v/>
      </c>
      <c r="AE20" t="str">
        <f>IF(คะแนนเก็บหลังกลางภาค!M23="","",คะแนนเก็บหลังกลางภาค!M23)</f>
        <v/>
      </c>
      <c r="AF20" t="str">
        <f>IF(คะแนนเก็บหลังกลางภาค!N23="","",คะแนนเก็บหลังกลางภาค!N23)</f>
        <v/>
      </c>
      <c r="AG20" t="str">
        <f>IF(คะแนนเก็บหลังกลางภาค!O23="","",คะแนนเก็บหลังกลางภาค!O23)</f>
        <v/>
      </c>
      <c r="AH20" t="str">
        <f>IF(คะแนนเก็บหลังกลางภาค!P23="","",คะแนนเก็บหลังกลางภาค!P23)</f>
        <v/>
      </c>
      <c r="AI20" t="str">
        <f>IF(คะแนนเก็บหลังกลางภาค!Q23="","",คะแนนเก็บหลังกลางภาค!Q23)</f>
        <v/>
      </c>
      <c r="AJ20" t="str">
        <f>IF(คะแนนเก็บหลังกลางภาค!R23="","",คะแนนเก็บหลังกลางภาค!R23)</f>
        <v/>
      </c>
      <c r="AK20" t="str">
        <f>IF(คะแนนเก็บหลังกลางภาค!S23="","",คะแนนเก็บหลังกลางภาค!S23)</f>
        <v/>
      </c>
      <c r="AL20" t="str">
        <f>IF(คะแนนเก็บหลังกลางภาค!T23="","",คะแนนเก็บหลังกลางภาค!T23)</f>
        <v/>
      </c>
      <c r="AM20" t="str">
        <f>IF(คะแนนเก็บหลังกลางภาค!U23="","",คะแนนเก็บหลังกลางภาค!U23)</f>
        <v/>
      </c>
      <c r="AN20" t="str">
        <f>IF(คะแนนเก็บหลังกลางภาค!V23="","",คะแนนเก็บหลังกลางภาค!V23)</f>
        <v/>
      </c>
      <c r="AO20" t="str">
        <f>IF(คะแนนเก็บหลังกลางภาค!W23="","",คะแนนเก็บหลังกลางภาค!W23)</f>
        <v/>
      </c>
      <c r="AP20" t="str">
        <f>IF(คุณลักษณะอันพึงประสงค์!D23="","",คุณลักษณะอันพึงประสงค์!D23)</f>
        <v/>
      </c>
      <c r="AQ20" t="str">
        <f>IF(คุณลักษณะอันพึงประสงค์!E23="","",คุณลักษณะอันพึงประสงค์!E23)</f>
        <v/>
      </c>
      <c r="AR20" t="str">
        <f>IF(คุณลักษณะอันพึงประสงค์!F23="","",คุณลักษณะอันพึงประสงค์!F23)</f>
        <v/>
      </c>
      <c r="AS20" t="str">
        <f>IF(คุณลักษณะอันพึงประสงค์!G23="","",คุณลักษณะอันพึงประสงค์!G23)</f>
        <v/>
      </c>
      <c r="AT20" t="str">
        <f>IF(คุณลักษณะอันพึงประสงค์!H23="","",คุณลักษณะอันพึงประสงค์!H23)</f>
        <v/>
      </c>
      <c r="AU20" t="str">
        <f>IF(คุณลักษณะอันพึงประสงค์!I23="","",คุณลักษณะอันพึงประสงค์!I23)</f>
        <v/>
      </c>
      <c r="AV20" t="str">
        <f>IF(คุณลักษณะอันพึงประสงค์!J23="","",คุณลักษณะอันพึงประสงค์!J23)</f>
        <v/>
      </c>
      <c r="AW20" t="str">
        <f>IF(คุณลักษณะอันพึงประสงค์!K23="","",คุณลักษณะอันพึงประสงค์!K23)</f>
        <v/>
      </c>
      <c r="AX20" t="str">
        <f>IF(คุณลักษณะอันพึงประสงค์!L23="","",คุณลักษณะอันพึงประสงค์!L23)</f>
        <v/>
      </c>
      <c r="AY20" t="str">
        <f>IF(คุณลักษณะอันพึงประสงค์!M23="","",คุณลักษณะอันพึงประสงค์!M23)</f>
        <v/>
      </c>
      <c r="AZ20" t="str">
        <f>IF(กลางภาค!D23="","",กลางภาค!D23)</f>
        <v/>
      </c>
      <c r="BA20" t="str">
        <f>IF(กลางภาค!E23="","",กลางภาค!E23)</f>
        <v/>
      </c>
      <c r="BB20" t="str">
        <f>IF(กลางภาค!F23="","",กลางภาค!F23)</f>
        <v/>
      </c>
      <c r="BC20" t="str">
        <f>IF(กลางภาค!G23="","",กลางภาค!G23)</f>
        <v/>
      </c>
      <c r="BD20" t="str">
        <f>IF(กลางภาค!H23="","",กลางภาค!H23)</f>
        <v/>
      </c>
      <c r="BE20" t="str">
        <f>IF(กลางภาค!I23="","",กลางภาค!I23)</f>
        <v/>
      </c>
      <c r="BF20" t="str">
        <f>IF(กลางภาค!J23="","",กลางภาค!J23)</f>
        <v/>
      </c>
      <c r="BG20" t="str">
        <f>IF(กลางภาค!K23="","",กลางภาค!K23)</f>
        <v/>
      </c>
      <c r="BH20" t="str">
        <f>IF(กลางภาค!L23="","",กลางภาค!L23)</f>
        <v/>
      </c>
      <c r="BI20" t="str">
        <f>IF(กลางภาค!M23="","",กลางภาค!M23)</f>
        <v/>
      </c>
      <c r="BJ20" t="str">
        <f>IF(ปลายภาค!D23="","",ปลายภาค!D23)</f>
        <v/>
      </c>
      <c r="BK20" t="str">
        <f>IF(ปลายภาค!E23="","",ปลายภาค!E23)</f>
        <v/>
      </c>
      <c r="BL20" t="str">
        <f>IF(ปลายภาค!F23="","",ปลายภาค!F23)</f>
        <v/>
      </c>
      <c r="BM20" t="str">
        <f>IF(ปลายภาค!G23="","",ปลายภาค!G23)</f>
        <v/>
      </c>
      <c r="BN20" t="str">
        <f>IF(ปลายภาค!H23="","",ปลายภาค!H23)</f>
        <v/>
      </c>
      <c r="BO20" t="str">
        <f>IF(ปลายภาค!I23="","",ปลายภาค!I23)</f>
        <v/>
      </c>
      <c r="BP20" t="str">
        <f>IF(ปลายภาค!J23="","",ปลายภาค!J23)</f>
        <v/>
      </c>
      <c r="BQ20" t="str">
        <f>IF(ปลายภาค!K23="","",ปลายภาค!K23)</f>
        <v/>
      </c>
      <c r="BR20" t="str">
        <f>IF(ปลายภาค!L23="","",ปลายภาค!L23)</f>
        <v/>
      </c>
      <c r="BS20" t="str">
        <f>IF(ปลายภาค!M23="","",ปลายภาค!M23)</f>
        <v/>
      </c>
      <c r="BT20" t="str">
        <f>IF(กลางภาค!N23="","",กลางภาค!N23)</f>
        <v/>
      </c>
      <c r="BU20" t="str">
        <f>IF(ปลายภาค!N23="","",ปลายภาค!N23)</f>
        <v/>
      </c>
      <c r="BV20" t="str">
        <f>IF(คุณลักษณะอันพึงประสงค์!X23="","",คุณลักษณะอันพึงประสงค์!X23)</f>
        <v/>
      </c>
      <c r="BW20" t="str">
        <f>IF(อ่านคิดวิเคราะห์!I23="","",อ่านคิดวิเคราะห์!I23)</f>
        <v/>
      </c>
      <c r="BX20" t="str">
        <f>IF(สมรรถนะ!N23="","",สมรรถนะ!N23)</f>
        <v/>
      </c>
      <c r="BY20" t="str">
        <f>IF(อ่านคิดวิเคราะห์!D23="","",อ่านคิดวิเคราะห์!D23)</f>
        <v/>
      </c>
      <c r="BZ20" t="str">
        <f>IF(อ่านคิดวิเคราะห์!E23="","",อ่านคิดวิเคราะห์!E23)</f>
        <v/>
      </c>
      <c r="CA20" t="str">
        <f>IF(อ่านคิดวิเคราะห์!F23="","",อ่านคิดวิเคราะห์!F23)</f>
        <v/>
      </c>
      <c r="CB20" t="str">
        <f>IF(อ่านคิดวิเคราะห์!G23="","",อ่านคิดวิเคราะห์!G23)</f>
        <v/>
      </c>
      <c r="CC20" t="str">
        <f>IF(อ่านคิดวิเคราะห์!H23="","",อ่านคิดวิเคราะห์!H23)</f>
        <v/>
      </c>
      <c r="CD20" t="str">
        <f>IF(สมรรถนะ!D23="","",สมรรถนะ!D23)</f>
        <v/>
      </c>
      <c r="CE20" t="str">
        <f>IF(สมรรถนะ!E23="","",สมรรถนะ!E23)</f>
        <v/>
      </c>
      <c r="CF20" t="str">
        <f>IF(สมรรถนะ!F23="","",สมรรถนะ!F23)</f>
        <v/>
      </c>
      <c r="CG20" t="str">
        <f>IF(สมรรถนะ!G23="","",สมรรถนะ!G23)</f>
        <v/>
      </c>
      <c r="CH20" t="str">
        <f>IF(สมรรถนะ!H23="","",สมรรถนะ!H23)</f>
        <v/>
      </c>
      <c r="CI20" t="str">
        <f>IF(สมรรถนะ!I23="","",สมรรถนะ!I23)</f>
        <v/>
      </c>
      <c r="CJ20" t="str">
        <f>IF(สมรรถนะ!J23="","",สมรรถนะ!J23)</f>
        <v/>
      </c>
      <c r="CK20" t="str">
        <f>IF(สมรรถนะ!K23="","",สมรรถนะ!K23)</f>
        <v/>
      </c>
      <c r="CL20" t="str">
        <f>IF(สมรรถนะ!L23="","",สมรรถนะ!L23)</f>
        <v/>
      </c>
      <c r="CM20" t="str">
        <f>IF(สมรรถนะ!M23="","",สมรรถนะ!M23)</f>
        <v/>
      </c>
      <c r="CN20" t="str">
        <f>IF(คุณลักษณะอันพึงประสงค์!N23="","",คุณลักษณะอันพึงประสงค์!N23)</f>
        <v/>
      </c>
      <c r="CO20" t="str">
        <f>IF(คุณลักษณะอันพึงประสงค์!O23="","",คุณลักษณะอันพึงประสงค์!O23)</f>
        <v/>
      </c>
      <c r="CP20" t="str">
        <f>IF(คุณลักษณะอันพึงประสงค์!P23="","",คุณลักษณะอันพึงประสงค์!P23)</f>
        <v/>
      </c>
      <c r="CQ20" t="str">
        <f>IF(คุณลักษณะอันพึงประสงค์!Q23="","",คุณลักษณะอันพึงประสงค์!Q23)</f>
        <v/>
      </c>
      <c r="CR20" t="str">
        <f>IF(คุณลักษณะอันพึงประสงค์!R23="","",คุณลักษณะอันพึงประสงค์!R23)</f>
        <v/>
      </c>
      <c r="CS20" t="str">
        <f>IF(คุณลักษณะอันพึงประสงค์!S23="","",คุณลักษณะอันพึงประสงค์!S23)</f>
        <v/>
      </c>
      <c r="CT20" t="str">
        <f>IF(คุณลักษณะอันพึงประสงค์!T23="","",คุณลักษณะอันพึงประสงค์!T23)</f>
        <v/>
      </c>
      <c r="CU20" t="str">
        <f>IF(คุณลักษณะอันพึงประสงค์!U23="","",คุณลักษณะอันพึงประสงค์!U23)</f>
        <v/>
      </c>
      <c r="CV20" t="str">
        <f>IF(คุณลักษณะอันพึงประสงค์!V23="","",คุณลักษณะอันพึงประสงค์!V23)</f>
        <v/>
      </c>
      <c r="CW20" t="str">
        <f>IF(คุณลักษณะอันพึงประสงค์!W23="","",คุณลักษณะอันพึงประสงค์!W23)</f>
        <v/>
      </c>
    </row>
    <row r="21" spans="1:101">
      <c r="A21" t="str">
        <f>IF(คะแนนเก็บ!B24="","",คะแนนเก็บ!B24)</f>
        <v/>
      </c>
      <c r="B21" t="str">
        <f>IF(คะแนนเก็บ!D24="","",คะแนนเก็บ!D24)</f>
        <v/>
      </c>
      <c r="C21" t="str">
        <f>IF(คะแนนเก็บ!E24="","",คะแนนเก็บ!E24)</f>
        <v/>
      </c>
      <c r="D21" t="str">
        <f>IF(คะแนนเก็บ!F24="","",คะแนนเก็บ!F24)</f>
        <v/>
      </c>
      <c r="E21" t="str">
        <f>IF(คะแนนเก็บ!G24="","",คะแนนเก็บ!G24)</f>
        <v/>
      </c>
      <c r="F21" t="str">
        <f>IF(คะแนนเก็บ!H24="","",คะแนนเก็บ!H24)</f>
        <v/>
      </c>
      <c r="G21" t="str">
        <f>IF(คะแนนเก็บ!I24="","",คะแนนเก็บ!I24)</f>
        <v/>
      </c>
      <c r="H21" t="str">
        <f>IF(คะแนนเก็บ!J24="","",คะแนนเก็บ!J24)</f>
        <v/>
      </c>
      <c r="I21" t="str">
        <f>IF(คะแนนเก็บ!K24="","",คะแนนเก็บ!K24)</f>
        <v/>
      </c>
      <c r="J21" t="str">
        <f>IF(คะแนนเก็บ!L24="","",คะแนนเก็บ!L24)</f>
        <v/>
      </c>
      <c r="K21" t="str">
        <f>IF(คะแนนเก็บ!M24="","",คะแนนเก็บ!M24)</f>
        <v/>
      </c>
      <c r="L21" t="str">
        <f>IF(คะแนนเก็บ!N24="","",คะแนนเก็บ!N24)</f>
        <v/>
      </c>
      <c r="M21" t="str">
        <f>IF(คะแนนเก็บ!O24="","",คะแนนเก็บ!O24)</f>
        <v/>
      </c>
      <c r="N21" t="str">
        <f>IF(คะแนนเก็บ!P24="","",คะแนนเก็บ!P24)</f>
        <v/>
      </c>
      <c r="O21" t="str">
        <f>IF(คะแนนเก็บ!Q24="","",คะแนนเก็บ!Q24)</f>
        <v/>
      </c>
      <c r="P21" t="str">
        <f>IF(คะแนนเก็บ!R24="","",คะแนนเก็บ!R24)</f>
        <v/>
      </c>
      <c r="Q21" t="str">
        <f>IF(คะแนนเก็บ!S24="","",คะแนนเก็บ!S24)</f>
        <v/>
      </c>
      <c r="R21" t="str">
        <f>IF(คะแนนเก็บ!T24="","",คะแนนเก็บ!T24)</f>
        <v/>
      </c>
      <c r="S21" t="str">
        <f>IF(คะแนนเก็บ!U24="","",คะแนนเก็บ!U24)</f>
        <v/>
      </c>
      <c r="T21" t="str">
        <f>IF(คะแนนเก็บ!V24="","",คะแนนเก็บ!V24)</f>
        <v/>
      </c>
      <c r="U21" t="str">
        <f>IF(คะแนนเก็บ!W24="","",คะแนนเก็บ!W24)</f>
        <v/>
      </c>
      <c r="V21" t="str">
        <f>IF(คะแนนเก็บหลังกลางภาค!D24="","",คะแนนเก็บหลังกลางภาค!D24)</f>
        <v/>
      </c>
      <c r="W21" t="str">
        <f>IF(คะแนนเก็บหลังกลางภาค!E24="","",คะแนนเก็บหลังกลางภาค!E24)</f>
        <v/>
      </c>
      <c r="X21" t="str">
        <f>IF(คะแนนเก็บหลังกลางภาค!F24="","",คะแนนเก็บหลังกลางภาค!F24)</f>
        <v/>
      </c>
      <c r="Y21" t="str">
        <f>IF(คะแนนเก็บหลังกลางภาค!G24="","",คะแนนเก็บหลังกลางภาค!G24)</f>
        <v/>
      </c>
      <c r="Z21" t="str">
        <f>IF(คะแนนเก็บหลังกลางภาค!H24="","",คะแนนเก็บหลังกลางภาค!H24)</f>
        <v/>
      </c>
      <c r="AA21" t="str">
        <f>IF(คะแนนเก็บหลังกลางภาค!I24="","",คะแนนเก็บหลังกลางภาค!I24)</f>
        <v/>
      </c>
      <c r="AB21" t="str">
        <f>IF(คะแนนเก็บหลังกลางภาค!J24="","",คะแนนเก็บหลังกลางภาค!J24)</f>
        <v/>
      </c>
      <c r="AC21" t="str">
        <f>IF(คะแนนเก็บหลังกลางภาค!K24="","",คะแนนเก็บหลังกลางภาค!K24)</f>
        <v/>
      </c>
      <c r="AD21" t="str">
        <f>IF(คะแนนเก็บหลังกลางภาค!L24="","",คะแนนเก็บหลังกลางภาค!L24)</f>
        <v/>
      </c>
      <c r="AE21" t="str">
        <f>IF(คะแนนเก็บหลังกลางภาค!M24="","",คะแนนเก็บหลังกลางภาค!M24)</f>
        <v/>
      </c>
      <c r="AF21" t="str">
        <f>IF(คะแนนเก็บหลังกลางภาค!N24="","",คะแนนเก็บหลังกลางภาค!N24)</f>
        <v/>
      </c>
      <c r="AG21" t="str">
        <f>IF(คะแนนเก็บหลังกลางภาค!O24="","",คะแนนเก็บหลังกลางภาค!O24)</f>
        <v/>
      </c>
      <c r="AH21" t="str">
        <f>IF(คะแนนเก็บหลังกลางภาค!P24="","",คะแนนเก็บหลังกลางภาค!P24)</f>
        <v/>
      </c>
      <c r="AI21" t="str">
        <f>IF(คะแนนเก็บหลังกลางภาค!Q24="","",คะแนนเก็บหลังกลางภาค!Q24)</f>
        <v/>
      </c>
      <c r="AJ21" t="str">
        <f>IF(คะแนนเก็บหลังกลางภาค!R24="","",คะแนนเก็บหลังกลางภาค!R24)</f>
        <v/>
      </c>
      <c r="AK21" t="str">
        <f>IF(คะแนนเก็บหลังกลางภาค!S24="","",คะแนนเก็บหลังกลางภาค!S24)</f>
        <v/>
      </c>
      <c r="AL21" t="str">
        <f>IF(คะแนนเก็บหลังกลางภาค!T24="","",คะแนนเก็บหลังกลางภาค!T24)</f>
        <v/>
      </c>
      <c r="AM21" t="str">
        <f>IF(คะแนนเก็บหลังกลางภาค!U24="","",คะแนนเก็บหลังกลางภาค!U24)</f>
        <v/>
      </c>
      <c r="AN21" t="str">
        <f>IF(คะแนนเก็บหลังกลางภาค!V24="","",คะแนนเก็บหลังกลางภาค!V24)</f>
        <v/>
      </c>
      <c r="AO21" t="str">
        <f>IF(คะแนนเก็บหลังกลางภาค!W24="","",คะแนนเก็บหลังกลางภาค!W24)</f>
        <v/>
      </c>
      <c r="AP21" t="str">
        <f>IF(คุณลักษณะอันพึงประสงค์!D24="","",คุณลักษณะอันพึงประสงค์!D24)</f>
        <v/>
      </c>
      <c r="AQ21" t="str">
        <f>IF(คุณลักษณะอันพึงประสงค์!E24="","",คุณลักษณะอันพึงประสงค์!E24)</f>
        <v/>
      </c>
      <c r="AR21" t="str">
        <f>IF(คุณลักษณะอันพึงประสงค์!F24="","",คุณลักษณะอันพึงประสงค์!F24)</f>
        <v/>
      </c>
      <c r="AS21" t="str">
        <f>IF(คุณลักษณะอันพึงประสงค์!G24="","",คุณลักษณะอันพึงประสงค์!G24)</f>
        <v/>
      </c>
      <c r="AT21" t="str">
        <f>IF(คุณลักษณะอันพึงประสงค์!H24="","",คุณลักษณะอันพึงประสงค์!H24)</f>
        <v/>
      </c>
      <c r="AU21" t="str">
        <f>IF(คุณลักษณะอันพึงประสงค์!I24="","",คุณลักษณะอันพึงประสงค์!I24)</f>
        <v/>
      </c>
      <c r="AV21" t="str">
        <f>IF(คุณลักษณะอันพึงประสงค์!J24="","",คุณลักษณะอันพึงประสงค์!J24)</f>
        <v/>
      </c>
      <c r="AW21" t="str">
        <f>IF(คุณลักษณะอันพึงประสงค์!K24="","",คุณลักษณะอันพึงประสงค์!K24)</f>
        <v/>
      </c>
      <c r="AX21" t="str">
        <f>IF(คุณลักษณะอันพึงประสงค์!L24="","",คุณลักษณะอันพึงประสงค์!L24)</f>
        <v/>
      </c>
      <c r="AY21" t="str">
        <f>IF(คุณลักษณะอันพึงประสงค์!M24="","",คุณลักษณะอันพึงประสงค์!M24)</f>
        <v/>
      </c>
      <c r="AZ21" t="str">
        <f>IF(กลางภาค!D24="","",กลางภาค!D24)</f>
        <v/>
      </c>
      <c r="BA21" t="str">
        <f>IF(กลางภาค!E24="","",กลางภาค!E24)</f>
        <v/>
      </c>
      <c r="BB21" t="str">
        <f>IF(กลางภาค!F24="","",กลางภาค!F24)</f>
        <v/>
      </c>
      <c r="BC21" t="str">
        <f>IF(กลางภาค!G24="","",กลางภาค!G24)</f>
        <v/>
      </c>
      <c r="BD21" t="str">
        <f>IF(กลางภาค!H24="","",กลางภาค!H24)</f>
        <v/>
      </c>
      <c r="BE21" t="str">
        <f>IF(กลางภาค!I24="","",กลางภาค!I24)</f>
        <v/>
      </c>
      <c r="BF21" t="str">
        <f>IF(กลางภาค!J24="","",กลางภาค!J24)</f>
        <v/>
      </c>
      <c r="BG21" t="str">
        <f>IF(กลางภาค!K24="","",กลางภาค!K24)</f>
        <v/>
      </c>
      <c r="BH21" t="str">
        <f>IF(กลางภาค!L24="","",กลางภาค!L24)</f>
        <v/>
      </c>
      <c r="BI21" t="str">
        <f>IF(กลางภาค!M24="","",กลางภาค!M24)</f>
        <v/>
      </c>
      <c r="BJ21" t="str">
        <f>IF(ปลายภาค!D24="","",ปลายภาค!D24)</f>
        <v/>
      </c>
      <c r="BK21" t="str">
        <f>IF(ปลายภาค!E24="","",ปลายภาค!E24)</f>
        <v/>
      </c>
      <c r="BL21" t="str">
        <f>IF(ปลายภาค!F24="","",ปลายภาค!F24)</f>
        <v/>
      </c>
      <c r="BM21" t="str">
        <f>IF(ปลายภาค!G24="","",ปลายภาค!G24)</f>
        <v/>
      </c>
      <c r="BN21" t="str">
        <f>IF(ปลายภาค!H24="","",ปลายภาค!H24)</f>
        <v/>
      </c>
      <c r="BO21" t="str">
        <f>IF(ปลายภาค!I24="","",ปลายภาค!I24)</f>
        <v/>
      </c>
      <c r="BP21" t="str">
        <f>IF(ปลายภาค!J24="","",ปลายภาค!J24)</f>
        <v/>
      </c>
      <c r="BQ21" t="str">
        <f>IF(ปลายภาค!K24="","",ปลายภาค!K24)</f>
        <v/>
      </c>
      <c r="BR21" t="str">
        <f>IF(ปลายภาค!L24="","",ปลายภาค!L24)</f>
        <v/>
      </c>
      <c r="BS21" t="str">
        <f>IF(ปลายภาค!M24="","",ปลายภาค!M24)</f>
        <v/>
      </c>
      <c r="BT21" t="str">
        <f>IF(กลางภาค!N24="","",กลางภาค!N24)</f>
        <v/>
      </c>
      <c r="BU21" t="str">
        <f>IF(ปลายภาค!N24="","",ปลายภาค!N24)</f>
        <v/>
      </c>
      <c r="BV21" t="str">
        <f>IF(คุณลักษณะอันพึงประสงค์!X24="","",คุณลักษณะอันพึงประสงค์!X24)</f>
        <v/>
      </c>
      <c r="BW21" t="str">
        <f>IF(อ่านคิดวิเคราะห์!I24="","",อ่านคิดวิเคราะห์!I24)</f>
        <v/>
      </c>
      <c r="BX21" t="str">
        <f>IF(สมรรถนะ!N24="","",สมรรถนะ!N24)</f>
        <v/>
      </c>
      <c r="BY21" t="str">
        <f>IF(อ่านคิดวิเคราะห์!D24="","",อ่านคิดวิเคราะห์!D24)</f>
        <v/>
      </c>
      <c r="BZ21" t="str">
        <f>IF(อ่านคิดวิเคราะห์!E24="","",อ่านคิดวิเคราะห์!E24)</f>
        <v/>
      </c>
      <c r="CA21" t="str">
        <f>IF(อ่านคิดวิเคราะห์!F24="","",อ่านคิดวิเคราะห์!F24)</f>
        <v/>
      </c>
      <c r="CB21" t="str">
        <f>IF(อ่านคิดวิเคราะห์!G24="","",อ่านคิดวิเคราะห์!G24)</f>
        <v/>
      </c>
      <c r="CC21" t="str">
        <f>IF(อ่านคิดวิเคราะห์!H24="","",อ่านคิดวิเคราะห์!H24)</f>
        <v/>
      </c>
      <c r="CD21" t="str">
        <f>IF(สมรรถนะ!D24="","",สมรรถนะ!D24)</f>
        <v/>
      </c>
      <c r="CE21" t="str">
        <f>IF(สมรรถนะ!E24="","",สมรรถนะ!E24)</f>
        <v/>
      </c>
      <c r="CF21" t="str">
        <f>IF(สมรรถนะ!F24="","",สมรรถนะ!F24)</f>
        <v/>
      </c>
      <c r="CG21" t="str">
        <f>IF(สมรรถนะ!G24="","",สมรรถนะ!G24)</f>
        <v/>
      </c>
      <c r="CH21" t="str">
        <f>IF(สมรรถนะ!H24="","",สมรรถนะ!H24)</f>
        <v/>
      </c>
      <c r="CI21" t="str">
        <f>IF(สมรรถนะ!I24="","",สมรรถนะ!I24)</f>
        <v/>
      </c>
      <c r="CJ21" t="str">
        <f>IF(สมรรถนะ!J24="","",สมรรถนะ!J24)</f>
        <v/>
      </c>
      <c r="CK21" t="str">
        <f>IF(สมรรถนะ!K24="","",สมรรถนะ!K24)</f>
        <v/>
      </c>
      <c r="CL21" t="str">
        <f>IF(สมรรถนะ!L24="","",สมรรถนะ!L24)</f>
        <v/>
      </c>
      <c r="CM21" t="str">
        <f>IF(สมรรถนะ!M24="","",สมรรถนะ!M24)</f>
        <v/>
      </c>
      <c r="CN21" t="str">
        <f>IF(คุณลักษณะอันพึงประสงค์!N24="","",คุณลักษณะอันพึงประสงค์!N24)</f>
        <v/>
      </c>
      <c r="CO21" t="str">
        <f>IF(คุณลักษณะอันพึงประสงค์!O24="","",คุณลักษณะอันพึงประสงค์!O24)</f>
        <v/>
      </c>
      <c r="CP21" t="str">
        <f>IF(คุณลักษณะอันพึงประสงค์!P24="","",คุณลักษณะอันพึงประสงค์!P24)</f>
        <v/>
      </c>
      <c r="CQ21" t="str">
        <f>IF(คุณลักษณะอันพึงประสงค์!Q24="","",คุณลักษณะอันพึงประสงค์!Q24)</f>
        <v/>
      </c>
      <c r="CR21" t="str">
        <f>IF(คุณลักษณะอันพึงประสงค์!R24="","",คุณลักษณะอันพึงประสงค์!R24)</f>
        <v/>
      </c>
      <c r="CS21" t="str">
        <f>IF(คุณลักษณะอันพึงประสงค์!S24="","",คุณลักษณะอันพึงประสงค์!S24)</f>
        <v/>
      </c>
      <c r="CT21" t="str">
        <f>IF(คุณลักษณะอันพึงประสงค์!T24="","",คุณลักษณะอันพึงประสงค์!T24)</f>
        <v/>
      </c>
      <c r="CU21" t="str">
        <f>IF(คุณลักษณะอันพึงประสงค์!U24="","",คุณลักษณะอันพึงประสงค์!U24)</f>
        <v/>
      </c>
      <c r="CV21" t="str">
        <f>IF(คุณลักษณะอันพึงประสงค์!V24="","",คุณลักษณะอันพึงประสงค์!V24)</f>
        <v/>
      </c>
      <c r="CW21" t="str">
        <f>IF(คุณลักษณะอันพึงประสงค์!W24="","",คุณลักษณะอันพึงประสงค์!W24)</f>
        <v/>
      </c>
    </row>
    <row r="22" spans="1:101">
      <c r="A22" t="str">
        <f>IF(คะแนนเก็บ!B25="","",คะแนนเก็บ!B25)</f>
        <v/>
      </c>
      <c r="B22" t="str">
        <f>IF(คะแนนเก็บ!D25="","",คะแนนเก็บ!D25)</f>
        <v/>
      </c>
      <c r="C22" t="str">
        <f>IF(คะแนนเก็บ!E25="","",คะแนนเก็บ!E25)</f>
        <v/>
      </c>
      <c r="D22" t="str">
        <f>IF(คะแนนเก็บ!F25="","",คะแนนเก็บ!F25)</f>
        <v/>
      </c>
      <c r="E22" t="str">
        <f>IF(คะแนนเก็บ!G25="","",คะแนนเก็บ!G25)</f>
        <v/>
      </c>
      <c r="F22" t="str">
        <f>IF(คะแนนเก็บ!H25="","",คะแนนเก็บ!H25)</f>
        <v/>
      </c>
      <c r="G22" t="str">
        <f>IF(คะแนนเก็บ!I25="","",คะแนนเก็บ!I25)</f>
        <v/>
      </c>
      <c r="H22" t="str">
        <f>IF(คะแนนเก็บ!J25="","",คะแนนเก็บ!J25)</f>
        <v/>
      </c>
      <c r="I22" t="str">
        <f>IF(คะแนนเก็บ!K25="","",คะแนนเก็บ!K25)</f>
        <v/>
      </c>
      <c r="J22" t="str">
        <f>IF(คะแนนเก็บ!L25="","",คะแนนเก็บ!L25)</f>
        <v/>
      </c>
      <c r="K22" t="str">
        <f>IF(คะแนนเก็บ!M25="","",คะแนนเก็บ!M25)</f>
        <v/>
      </c>
      <c r="L22" t="str">
        <f>IF(คะแนนเก็บ!N25="","",คะแนนเก็บ!N25)</f>
        <v/>
      </c>
      <c r="M22" t="str">
        <f>IF(คะแนนเก็บ!O25="","",คะแนนเก็บ!O25)</f>
        <v/>
      </c>
      <c r="N22" t="str">
        <f>IF(คะแนนเก็บ!P25="","",คะแนนเก็บ!P25)</f>
        <v/>
      </c>
      <c r="O22" t="str">
        <f>IF(คะแนนเก็บ!Q25="","",คะแนนเก็บ!Q25)</f>
        <v/>
      </c>
      <c r="P22" t="str">
        <f>IF(คะแนนเก็บ!R25="","",คะแนนเก็บ!R25)</f>
        <v/>
      </c>
      <c r="Q22" t="str">
        <f>IF(คะแนนเก็บ!S25="","",คะแนนเก็บ!S25)</f>
        <v/>
      </c>
      <c r="R22" t="str">
        <f>IF(คะแนนเก็บ!T25="","",คะแนนเก็บ!T25)</f>
        <v/>
      </c>
      <c r="S22" t="str">
        <f>IF(คะแนนเก็บ!U25="","",คะแนนเก็บ!U25)</f>
        <v/>
      </c>
      <c r="T22" t="str">
        <f>IF(คะแนนเก็บ!V25="","",คะแนนเก็บ!V25)</f>
        <v/>
      </c>
      <c r="U22" t="str">
        <f>IF(คะแนนเก็บ!W25="","",คะแนนเก็บ!W25)</f>
        <v/>
      </c>
      <c r="V22" t="str">
        <f>IF(คะแนนเก็บหลังกลางภาค!D25="","",คะแนนเก็บหลังกลางภาค!D25)</f>
        <v/>
      </c>
      <c r="W22" t="str">
        <f>IF(คะแนนเก็บหลังกลางภาค!E25="","",คะแนนเก็บหลังกลางภาค!E25)</f>
        <v/>
      </c>
      <c r="X22" t="str">
        <f>IF(คะแนนเก็บหลังกลางภาค!F25="","",คะแนนเก็บหลังกลางภาค!F25)</f>
        <v/>
      </c>
      <c r="Y22" t="str">
        <f>IF(คะแนนเก็บหลังกลางภาค!G25="","",คะแนนเก็บหลังกลางภาค!G25)</f>
        <v/>
      </c>
      <c r="Z22" t="str">
        <f>IF(คะแนนเก็บหลังกลางภาค!H25="","",คะแนนเก็บหลังกลางภาค!H25)</f>
        <v/>
      </c>
      <c r="AA22" t="str">
        <f>IF(คะแนนเก็บหลังกลางภาค!I25="","",คะแนนเก็บหลังกลางภาค!I25)</f>
        <v/>
      </c>
      <c r="AB22" t="str">
        <f>IF(คะแนนเก็บหลังกลางภาค!J25="","",คะแนนเก็บหลังกลางภาค!J25)</f>
        <v/>
      </c>
      <c r="AC22" t="str">
        <f>IF(คะแนนเก็บหลังกลางภาค!K25="","",คะแนนเก็บหลังกลางภาค!K25)</f>
        <v/>
      </c>
      <c r="AD22" t="str">
        <f>IF(คะแนนเก็บหลังกลางภาค!L25="","",คะแนนเก็บหลังกลางภาค!L25)</f>
        <v/>
      </c>
      <c r="AE22" t="str">
        <f>IF(คะแนนเก็บหลังกลางภาค!M25="","",คะแนนเก็บหลังกลางภาค!M25)</f>
        <v/>
      </c>
      <c r="AF22" t="str">
        <f>IF(คะแนนเก็บหลังกลางภาค!N25="","",คะแนนเก็บหลังกลางภาค!N25)</f>
        <v/>
      </c>
      <c r="AG22" t="str">
        <f>IF(คะแนนเก็บหลังกลางภาค!O25="","",คะแนนเก็บหลังกลางภาค!O25)</f>
        <v/>
      </c>
      <c r="AH22" t="str">
        <f>IF(คะแนนเก็บหลังกลางภาค!P25="","",คะแนนเก็บหลังกลางภาค!P25)</f>
        <v/>
      </c>
      <c r="AI22" t="str">
        <f>IF(คะแนนเก็บหลังกลางภาค!Q25="","",คะแนนเก็บหลังกลางภาค!Q25)</f>
        <v/>
      </c>
      <c r="AJ22" t="str">
        <f>IF(คะแนนเก็บหลังกลางภาค!R25="","",คะแนนเก็บหลังกลางภาค!R25)</f>
        <v/>
      </c>
      <c r="AK22" t="str">
        <f>IF(คะแนนเก็บหลังกลางภาค!S25="","",คะแนนเก็บหลังกลางภาค!S25)</f>
        <v/>
      </c>
      <c r="AL22" t="str">
        <f>IF(คะแนนเก็บหลังกลางภาค!T25="","",คะแนนเก็บหลังกลางภาค!T25)</f>
        <v/>
      </c>
      <c r="AM22" t="str">
        <f>IF(คะแนนเก็บหลังกลางภาค!U25="","",คะแนนเก็บหลังกลางภาค!U25)</f>
        <v/>
      </c>
      <c r="AN22" t="str">
        <f>IF(คะแนนเก็บหลังกลางภาค!V25="","",คะแนนเก็บหลังกลางภาค!V25)</f>
        <v/>
      </c>
      <c r="AO22" t="str">
        <f>IF(คะแนนเก็บหลังกลางภาค!W25="","",คะแนนเก็บหลังกลางภาค!W25)</f>
        <v/>
      </c>
      <c r="AP22" t="str">
        <f>IF(คุณลักษณะอันพึงประสงค์!D25="","",คุณลักษณะอันพึงประสงค์!D25)</f>
        <v/>
      </c>
      <c r="AQ22" t="str">
        <f>IF(คุณลักษณะอันพึงประสงค์!E25="","",คุณลักษณะอันพึงประสงค์!E25)</f>
        <v/>
      </c>
      <c r="AR22" t="str">
        <f>IF(คุณลักษณะอันพึงประสงค์!F25="","",คุณลักษณะอันพึงประสงค์!F25)</f>
        <v/>
      </c>
      <c r="AS22" t="str">
        <f>IF(คุณลักษณะอันพึงประสงค์!G25="","",คุณลักษณะอันพึงประสงค์!G25)</f>
        <v/>
      </c>
      <c r="AT22" t="str">
        <f>IF(คุณลักษณะอันพึงประสงค์!H25="","",คุณลักษณะอันพึงประสงค์!H25)</f>
        <v/>
      </c>
      <c r="AU22" t="str">
        <f>IF(คุณลักษณะอันพึงประสงค์!I25="","",คุณลักษณะอันพึงประสงค์!I25)</f>
        <v/>
      </c>
      <c r="AV22" t="str">
        <f>IF(คุณลักษณะอันพึงประสงค์!J25="","",คุณลักษณะอันพึงประสงค์!J25)</f>
        <v/>
      </c>
      <c r="AW22" t="str">
        <f>IF(คุณลักษณะอันพึงประสงค์!K25="","",คุณลักษณะอันพึงประสงค์!K25)</f>
        <v/>
      </c>
      <c r="AX22" t="str">
        <f>IF(คุณลักษณะอันพึงประสงค์!L25="","",คุณลักษณะอันพึงประสงค์!L25)</f>
        <v/>
      </c>
      <c r="AY22" t="str">
        <f>IF(คุณลักษณะอันพึงประสงค์!M25="","",คุณลักษณะอันพึงประสงค์!M25)</f>
        <v/>
      </c>
      <c r="AZ22" t="str">
        <f>IF(กลางภาค!D25="","",กลางภาค!D25)</f>
        <v/>
      </c>
      <c r="BA22" t="str">
        <f>IF(กลางภาค!E25="","",กลางภาค!E25)</f>
        <v/>
      </c>
      <c r="BB22" t="str">
        <f>IF(กลางภาค!F25="","",กลางภาค!F25)</f>
        <v/>
      </c>
      <c r="BC22" t="str">
        <f>IF(กลางภาค!G25="","",กลางภาค!G25)</f>
        <v/>
      </c>
      <c r="BD22" t="str">
        <f>IF(กลางภาค!H25="","",กลางภาค!H25)</f>
        <v/>
      </c>
      <c r="BE22" t="str">
        <f>IF(กลางภาค!I25="","",กลางภาค!I25)</f>
        <v/>
      </c>
      <c r="BF22" t="str">
        <f>IF(กลางภาค!J25="","",กลางภาค!J25)</f>
        <v/>
      </c>
      <c r="BG22" t="str">
        <f>IF(กลางภาค!K25="","",กลางภาค!K25)</f>
        <v/>
      </c>
      <c r="BH22" t="str">
        <f>IF(กลางภาค!L25="","",กลางภาค!L25)</f>
        <v/>
      </c>
      <c r="BI22" t="str">
        <f>IF(กลางภาค!M25="","",กลางภาค!M25)</f>
        <v/>
      </c>
      <c r="BJ22" t="str">
        <f>IF(ปลายภาค!D25="","",ปลายภาค!D25)</f>
        <v/>
      </c>
      <c r="BK22" t="str">
        <f>IF(ปลายภาค!E25="","",ปลายภาค!E25)</f>
        <v/>
      </c>
      <c r="BL22" t="str">
        <f>IF(ปลายภาค!F25="","",ปลายภาค!F25)</f>
        <v/>
      </c>
      <c r="BM22" t="str">
        <f>IF(ปลายภาค!G25="","",ปลายภาค!G25)</f>
        <v/>
      </c>
      <c r="BN22" t="str">
        <f>IF(ปลายภาค!H25="","",ปลายภาค!H25)</f>
        <v/>
      </c>
      <c r="BO22" t="str">
        <f>IF(ปลายภาค!I25="","",ปลายภาค!I25)</f>
        <v/>
      </c>
      <c r="BP22" t="str">
        <f>IF(ปลายภาค!J25="","",ปลายภาค!J25)</f>
        <v/>
      </c>
      <c r="BQ22" t="str">
        <f>IF(ปลายภาค!K25="","",ปลายภาค!K25)</f>
        <v/>
      </c>
      <c r="BR22" t="str">
        <f>IF(ปลายภาค!L25="","",ปลายภาค!L25)</f>
        <v/>
      </c>
      <c r="BS22" t="str">
        <f>IF(ปลายภาค!M25="","",ปลายภาค!M25)</f>
        <v/>
      </c>
      <c r="BT22" t="str">
        <f>IF(กลางภาค!N25="","",กลางภาค!N25)</f>
        <v/>
      </c>
      <c r="BU22" t="str">
        <f>IF(ปลายภาค!N25="","",ปลายภาค!N25)</f>
        <v/>
      </c>
      <c r="BV22" t="str">
        <f>IF(คุณลักษณะอันพึงประสงค์!X25="","",คุณลักษณะอันพึงประสงค์!X25)</f>
        <v/>
      </c>
      <c r="BW22" t="str">
        <f>IF(อ่านคิดวิเคราะห์!I25="","",อ่านคิดวิเคราะห์!I25)</f>
        <v/>
      </c>
      <c r="BX22" t="str">
        <f>IF(สมรรถนะ!N25="","",สมรรถนะ!N25)</f>
        <v/>
      </c>
      <c r="BY22" t="str">
        <f>IF(อ่านคิดวิเคราะห์!D25="","",อ่านคิดวิเคราะห์!D25)</f>
        <v/>
      </c>
      <c r="BZ22" t="str">
        <f>IF(อ่านคิดวิเคราะห์!E25="","",อ่านคิดวิเคราะห์!E25)</f>
        <v/>
      </c>
      <c r="CA22" t="str">
        <f>IF(อ่านคิดวิเคราะห์!F25="","",อ่านคิดวิเคราะห์!F25)</f>
        <v/>
      </c>
      <c r="CB22" t="str">
        <f>IF(อ่านคิดวิเคราะห์!G25="","",อ่านคิดวิเคราะห์!G25)</f>
        <v/>
      </c>
      <c r="CC22" t="str">
        <f>IF(อ่านคิดวิเคราะห์!H25="","",อ่านคิดวิเคราะห์!H25)</f>
        <v/>
      </c>
      <c r="CD22" t="str">
        <f>IF(สมรรถนะ!D25="","",สมรรถนะ!D25)</f>
        <v/>
      </c>
      <c r="CE22" t="str">
        <f>IF(สมรรถนะ!E25="","",สมรรถนะ!E25)</f>
        <v/>
      </c>
      <c r="CF22" t="str">
        <f>IF(สมรรถนะ!F25="","",สมรรถนะ!F25)</f>
        <v/>
      </c>
      <c r="CG22" t="str">
        <f>IF(สมรรถนะ!G25="","",สมรรถนะ!G25)</f>
        <v/>
      </c>
      <c r="CH22" t="str">
        <f>IF(สมรรถนะ!H25="","",สมรรถนะ!H25)</f>
        <v/>
      </c>
      <c r="CI22" t="str">
        <f>IF(สมรรถนะ!I25="","",สมรรถนะ!I25)</f>
        <v/>
      </c>
      <c r="CJ22" t="str">
        <f>IF(สมรรถนะ!J25="","",สมรรถนะ!J25)</f>
        <v/>
      </c>
      <c r="CK22" t="str">
        <f>IF(สมรรถนะ!K25="","",สมรรถนะ!K25)</f>
        <v/>
      </c>
      <c r="CL22" t="str">
        <f>IF(สมรรถนะ!L25="","",สมรรถนะ!L25)</f>
        <v/>
      </c>
      <c r="CM22" t="str">
        <f>IF(สมรรถนะ!M25="","",สมรรถนะ!M25)</f>
        <v/>
      </c>
      <c r="CN22" t="str">
        <f>IF(คุณลักษณะอันพึงประสงค์!N25="","",คุณลักษณะอันพึงประสงค์!N25)</f>
        <v/>
      </c>
      <c r="CO22" t="str">
        <f>IF(คุณลักษณะอันพึงประสงค์!O25="","",คุณลักษณะอันพึงประสงค์!O25)</f>
        <v/>
      </c>
      <c r="CP22" t="str">
        <f>IF(คุณลักษณะอันพึงประสงค์!P25="","",คุณลักษณะอันพึงประสงค์!P25)</f>
        <v/>
      </c>
      <c r="CQ22" t="str">
        <f>IF(คุณลักษณะอันพึงประสงค์!Q25="","",คุณลักษณะอันพึงประสงค์!Q25)</f>
        <v/>
      </c>
      <c r="CR22" t="str">
        <f>IF(คุณลักษณะอันพึงประสงค์!R25="","",คุณลักษณะอันพึงประสงค์!R25)</f>
        <v/>
      </c>
      <c r="CS22" t="str">
        <f>IF(คุณลักษณะอันพึงประสงค์!S25="","",คุณลักษณะอันพึงประสงค์!S25)</f>
        <v/>
      </c>
      <c r="CT22" t="str">
        <f>IF(คุณลักษณะอันพึงประสงค์!T25="","",คุณลักษณะอันพึงประสงค์!T25)</f>
        <v/>
      </c>
      <c r="CU22" t="str">
        <f>IF(คุณลักษณะอันพึงประสงค์!U25="","",คุณลักษณะอันพึงประสงค์!U25)</f>
        <v/>
      </c>
      <c r="CV22" t="str">
        <f>IF(คุณลักษณะอันพึงประสงค์!V25="","",คุณลักษณะอันพึงประสงค์!V25)</f>
        <v/>
      </c>
      <c r="CW22" t="str">
        <f>IF(คุณลักษณะอันพึงประสงค์!W25="","",คุณลักษณะอันพึงประสงค์!W25)</f>
        <v/>
      </c>
    </row>
    <row r="23" spans="1:101">
      <c r="A23" t="str">
        <f>IF(คะแนนเก็บ!B26="","",คะแนนเก็บ!B26)</f>
        <v/>
      </c>
      <c r="B23" t="str">
        <f>IF(คะแนนเก็บ!D26="","",คะแนนเก็บ!D26)</f>
        <v/>
      </c>
      <c r="C23" t="str">
        <f>IF(คะแนนเก็บ!E26="","",คะแนนเก็บ!E26)</f>
        <v/>
      </c>
      <c r="D23" t="str">
        <f>IF(คะแนนเก็บ!F26="","",คะแนนเก็บ!F26)</f>
        <v/>
      </c>
      <c r="E23" t="str">
        <f>IF(คะแนนเก็บ!G26="","",คะแนนเก็บ!G26)</f>
        <v/>
      </c>
      <c r="F23" t="str">
        <f>IF(คะแนนเก็บ!H26="","",คะแนนเก็บ!H26)</f>
        <v/>
      </c>
      <c r="G23" t="str">
        <f>IF(คะแนนเก็บ!I26="","",คะแนนเก็บ!I26)</f>
        <v/>
      </c>
      <c r="H23" t="str">
        <f>IF(คะแนนเก็บ!J26="","",คะแนนเก็บ!J26)</f>
        <v/>
      </c>
      <c r="I23" t="str">
        <f>IF(คะแนนเก็บ!K26="","",คะแนนเก็บ!K26)</f>
        <v/>
      </c>
      <c r="J23" t="str">
        <f>IF(คะแนนเก็บ!L26="","",คะแนนเก็บ!L26)</f>
        <v/>
      </c>
      <c r="K23" t="str">
        <f>IF(คะแนนเก็บ!M26="","",คะแนนเก็บ!M26)</f>
        <v/>
      </c>
      <c r="L23" t="str">
        <f>IF(คะแนนเก็บ!N26="","",คะแนนเก็บ!N26)</f>
        <v/>
      </c>
      <c r="M23" t="str">
        <f>IF(คะแนนเก็บ!O26="","",คะแนนเก็บ!O26)</f>
        <v/>
      </c>
      <c r="N23" t="str">
        <f>IF(คะแนนเก็บ!P26="","",คะแนนเก็บ!P26)</f>
        <v/>
      </c>
      <c r="O23" t="str">
        <f>IF(คะแนนเก็บ!Q26="","",คะแนนเก็บ!Q26)</f>
        <v/>
      </c>
      <c r="P23" t="str">
        <f>IF(คะแนนเก็บ!R26="","",คะแนนเก็บ!R26)</f>
        <v/>
      </c>
      <c r="Q23" t="str">
        <f>IF(คะแนนเก็บ!S26="","",คะแนนเก็บ!S26)</f>
        <v/>
      </c>
      <c r="R23" t="str">
        <f>IF(คะแนนเก็บ!T26="","",คะแนนเก็บ!T26)</f>
        <v/>
      </c>
      <c r="S23" t="str">
        <f>IF(คะแนนเก็บ!U26="","",คะแนนเก็บ!U26)</f>
        <v/>
      </c>
      <c r="T23" t="str">
        <f>IF(คะแนนเก็บ!V26="","",คะแนนเก็บ!V26)</f>
        <v/>
      </c>
      <c r="U23" t="str">
        <f>IF(คะแนนเก็บ!W26="","",คะแนนเก็บ!W26)</f>
        <v/>
      </c>
      <c r="V23" t="str">
        <f>IF(คะแนนเก็บหลังกลางภาค!D26="","",คะแนนเก็บหลังกลางภาค!D26)</f>
        <v/>
      </c>
      <c r="W23" t="str">
        <f>IF(คะแนนเก็บหลังกลางภาค!E26="","",คะแนนเก็บหลังกลางภาค!E26)</f>
        <v/>
      </c>
      <c r="X23" t="str">
        <f>IF(คะแนนเก็บหลังกลางภาค!F26="","",คะแนนเก็บหลังกลางภาค!F26)</f>
        <v/>
      </c>
      <c r="Y23" t="str">
        <f>IF(คะแนนเก็บหลังกลางภาค!G26="","",คะแนนเก็บหลังกลางภาค!G26)</f>
        <v/>
      </c>
      <c r="Z23" t="str">
        <f>IF(คะแนนเก็บหลังกลางภาค!H26="","",คะแนนเก็บหลังกลางภาค!H26)</f>
        <v/>
      </c>
      <c r="AA23" t="str">
        <f>IF(คะแนนเก็บหลังกลางภาค!I26="","",คะแนนเก็บหลังกลางภาค!I26)</f>
        <v/>
      </c>
      <c r="AB23" t="str">
        <f>IF(คะแนนเก็บหลังกลางภาค!J26="","",คะแนนเก็บหลังกลางภาค!J26)</f>
        <v/>
      </c>
      <c r="AC23" t="str">
        <f>IF(คะแนนเก็บหลังกลางภาค!K26="","",คะแนนเก็บหลังกลางภาค!K26)</f>
        <v/>
      </c>
      <c r="AD23" t="str">
        <f>IF(คะแนนเก็บหลังกลางภาค!L26="","",คะแนนเก็บหลังกลางภาค!L26)</f>
        <v/>
      </c>
      <c r="AE23" t="str">
        <f>IF(คะแนนเก็บหลังกลางภาค!M26="","",คะแนนเก็บหลังกลางภาค!M26)</f>
        <v/>
      </c>
      <c r="AF23" t="str">
        <f>IF(คะแนนเก็บหลังกลางภาค!N26="","",คะแนนเก็บหลังกลางภาค!N26)</f>
        <v/>
      </c>
      <c r="AG23" t="str">
        <f>IF(คะแนนเก็บหลังกลางภาค!O26="","",คะแนนเก็บหลังกลางภาค!O26)</f>
        <v/>
      </c>
      <c r="AH23" t="str">
        <f>IF(คะแนนเก็บหลังกลางภาค!P26="","",คะแนนเก็บหลังกลางภาค!P26)</f>
        <v/>
      </c>
      <c r="AI23" t="str">
        <f>IF(คะแนนเก็บหลังกลางภาค!Q26="","",คะแนนเก็บหลังกลางภาค!Q26)</f>
        <v/>
      </c>
      <c r="AJ23" t="str">
        <f>IF(คะแนนเก็บหลังกลางภาค!R26="","",คะแนนเก็บหลังกลางภาค!R26)</f>
        <v/>
      </c>
      <c r="AK23" t="str">
        <f>IF(คะแนนเก็บหลังกลางภาค!S26="","",คะแนนเก็บหลังกลางภาค!S26)</f>
        <v/>
      </c>
      <c r="AL23" t="str">
        <f>IF(คะแนนเก็บหลังกลางภาค!T26="","",คะแนนเก็บหลังกลางภาค!T26)</f>
        <v/>
      </c>
      <c r="AM23" t="str">
        <f>IF(คะแนนเก็บหลังกลางภาค!U26="","",คะแนนเก็บหลังกลางภาค!U26)</f>
        <v/>
      </c>
      <c r="AN23" t="str">
        <f>IF(คะแนนเก็บหลังกลางภาค!V26="","",คะแนนเก็บหลังกลางภาค!V26)</f>
        <v/>
      </c>
      <c r="AO23" t="str">
        <f>IF(คะแนนเก็บหลังกลางภาค!W26="","",คะแนนเก็บหลังกลางภาค!W26)</f>
        <v/>
      </c>
      <c r="AP23" t="str">
        <f>IF(คุณลักษณะอันพึงประสงค์!D26="","",คุณลักษณะอันพึงประสงค์!D26)</f>
        <v/>
      </c>
      <c r="AQ23" t="str">
        <f>IF(คุณลักษณะอันพึงประสงค์!E26="","",คุณลักษณะอันพึงประสงค์!E26)</f>
        <v/>
      </c>
      <c r="AR23" t="str">
        <f>IF(คุณลักษณะอันพึงประสงค์!F26="","",คุณลักษณะอันพึงประสงค์!F26)</f>
        <v/>
      </c>
      <c r="AS23" t="str">
        <f>IF(คุณลักษณะอันพึงประสงค์!G26="","",คุณลักษณะอันพึงประสงค์!G26)</f>
        <v/>
      </c>
      <c r="AT23" t="str">
        <f>IF(คุณลักษณะอันพึงประสงค์!H26="","",คุณลักษณะอันพึงประสงค์!H26)</f>
        <v/>
      </c>
      <c r="AU23" t="str">
        <f>IF(คุณลักษณะอันพึงประสงค์!I26="","",คุณลักษณะอันพึงประสงค์!I26)</f>
        <v/>
      </c>
      <c r="AV23" t="str">
        <f>IF(คุณลักษณะอันพึงประสงค์!J26="","",คุณลักษณะอันพึงประสงค์!J26)</f>
        <v/>
      </c>
      <c r="AW23" t="str">
        <f>IF(คุณลักษณะอันพึงประสงค์!K26="","",คุณลักษณะอันพึงประสงค์!K26)</f>
        <v/>
      </c>
      <c r="AX23" t="str">
        <f>IF(คุณลักษณะอันพึงประสงค์!L26="","",คุณลักษณะอันพึงประสงค์!L26)</f>
        <v/>
      </c>
      <c r="AY23" t="str">
        <f>IF(คุณลักษณะอันพึงประสงค์!M26="","",คุณลักษณะอันพึงประสงค์!M26)</f>
        <v/>
      </c>
      <c r="AZ23" t="str">
        <f>IF(กลางภาค!D26="","",กลางภาค!D26)</f>
        <v/>
      </c>
      <c r="BA23" t="str">
        <f>IF(กลางภาค!E26="","",กลางภาค!E26)</f>
        <v/>
      </c>
      <c r="BB23" t="str">
        <f>IF(กลางภาค!F26="","",กลางภาค!F26)</f>
        <v/>
      </c>
      <c r="BC23" t="str">
        <f>IF(กลางภาค!G26="","",กลางภาค!G26)</f>
        <v/>
      </c>
      <c r="BD23" t="str">
        <f>IF(กลางภาค!H26="","",กลางภาค!H26)</f>
        <v/>
      </c>
      <c r="BE23" t="str">
        <f>IF(กลางภาค!I26="","",กลางภาค!I26)</f>
        <v/>
      </c>
      <c r="BF23" t="str">
        <f>IF(กลางภาค!J26="","",กลางภาค!J26)</f>
        <v/>
      </c>
      <c r="BG23" t="str">
        <f>IF(กลางภาค!K26="","",กลางภาค!K26)</f>
        <v/>
      </c>
      <c r="BH23" t="str">
        <f>IF(กลางภาค!L26="","",กลางภาค!L26)</f>
        <v/>
      </c>
      <c r="BI23" t="str">
        <f>IF(กลางภาค!M26="","",กลางภาค!M26)</f>
        <v/>
      </c>
      <c r="BJ23" t="str">
        <f>IF(ปลายภาค!D26="","",ปลายภาค!D26)</f>
        <v/>
      </c>
      <c r="BK23" t="str">
        <f>IF(ปลายภาค!E26="","",ปลายภาค!E26)</f>
        <v/>
      </c>
      <c r="BL23" t="str">
        <f>IF(ปลายภาค!F26="","",ปลายภาค!F26)</f>
        <v/>
      </c>
      <c r="BM23" t="str">
        <f>IF(ปลายภาค!G26="","",ปลายภาค!G26)</f>
        <v/>
      </c>
      <c r="BN23" t="str">
        <f>IF(ปลายภาค!H26="","",ปลายภาค!H26)</f>
        <v/>
      </c>
      <c r="BO23" t="str">
        <f>IF(ปลายภาค!I26="","",ปลายภาค!I26)</f>
        <v/>
      </c>
      <c r="BP23" t="str">
        <f>IF(ปลายภาค!J26="","",ปลายภาค!J26)</f>
        <v/>
      </c>
      <c r="BQ23" t="str">
        <f>IF(ปลายภาค!K26="","",ปลายภาค!K26)</f>
        <v/>
      </c>
      <c r="BR23" t="str">
        <f>IF(ปลายภาค!L26="","",ปลายภาค!L26)</f>
        <v/>
      </c>
      <c r="BS23" t="str">
        <f>IF(ปลายภาค!M26="","",ปลายภาค!M26)</f>
        <v/>
      </c>
      <c r="BT23" t="str">
        <f>IF(กลางภาค!N26="","",กลางภาค!N26)</f>
        <v/>
      </c>
      <c r="BU23" t="str">
        <f>IF(ปลายภาค!N26="","",ปลายภาค!N26)</f>
        <v/>
      </c>
      <c r="BV23" t="str">
        <f>IF(คุณลักษณะอันพึงประสงค์!X26="","",คุณลักษณะอันพึงประสงค์!X26)</f>
        <v/>
      </c>
      <c r="BW23" t="str">
        <f>IF(อ่านคิดวิเคราะห์!I26="","",อ่านคิดวิเคราะห์!I26)</f>
        <v/>
      </c>
      <c r="BX23" t="str">
        <f>IF(สมรรถนะ!N26="","",สมรรถนะ!N26)</f>
        <v/>
      </c>
      <c r="BY23" t="str">
        <f>IF(อ่านคิดวิเคราะห์!D26="","",อ่านคิดวิเคราะห์!D26)</f>
        <v/>
      </c>
      <c r="BZ23" t="str">
        <f>IF(อ่านคิดวิเคราะห์!E26="","",อ่านคิดวิเคราะห์!E26)</f>
        <v/>
      </c>
      <c r="CA23" t="str">
        <f>IF(อ่านคิดวิเคราะห์!F26="","",อ่านคิดวิเคราะห์!F26)</f>
        <v/>
      </c>
      <c r="CB23" t="str">
        <f>IF(อ่านคิดวิเคราะห์!G26="","",อ่านคิดวิเคราะห์!G26)</f>
        <v/>
      </c>
      <c r="CC23" t="str">
        <f>IF(อ่านคิดวิเคราะห์!H26="","",อ่านคิดวิเคราะห์!H26)</f>
        <v/>
      </c>
      <c r="CD23" t="str">
        <f>IF(สมรรถนะ!D26="","",สมรรถนะ!D26)</f>
        <v/>
      </c>
      <c r="CE23" t="str">
        <f>IF(สมรรถนะ!E26="","",สมรรถนะ!E26)</f>
        <v/>
      </c>
      <c r="CF23" t="str">
        <f>IF(สมรรถนะ!F26="","",สมรรถนะ!F26)</f>
        <v/>
      </c>
      <c r="CG23" t="str">
        <f>IF(สมรรถนะ!G26="","",สมรรถนะ!G26)</f>
        <v/>
      </c>
      <c r="CH23" t="str">
        <f>IF(สมรรถนะ!H26="","",สมรรถนะ!H26)</f>
        <v/>
      </c>
      <c r="CI23" t="str">
        <f>IF(สมรรถนะ!I26="","",สมรรถนะ!I26)</f>
        <v/>
      </c>
      <c r="CJ23" t="str">
        <f>IF(สมรรถนะ!J26="","",สมรรถนะ!J26)</f>
        <v/>
      </c>
      <c r="CK23" t="str">
        <f>IF(สมรรถนะ!K26="","",สมรรถนะ!K26)</f>
        <v/>
      </c>
      <c r="CL23" t="str">
        <f>IF(สมรรถนะ!L26="","",สมรรถนะ!L26)</f>
        <v/>
      </c>
      <c r="CM23" t="str">
        <f>IF(สมรรถนะ!M26="","",สมรรถนะ!M26)</f>
        <v/>
      </c>
      <c r="CN23" t="str">
        <f>IF(คุณลักษณะอันพึงประสงค์!N26="","",คุณลักษณะอันพึงประสงค์!N26)</f>
        <v/>
      </c>
      <c r="CO23" t="str">
        <f>IF(คุณลักษณะอันพึงประสงค์!O26="","",คุณลักษณะอันพึงประสงค์!O26)</f>
        <v/>
      </c>
      <c r="CP23" t="str">
        <f>IF(คุณลักษณะอันพึงประสงค์!P26="","",คุณลักษณะอันพึงประสงค์!P26)</f>
        <v/>
      </c>
      <c r="CQ23" t="str">
        <f>IF(คุณลักษณะอันพึงประสงค์!Q26="","",คุณลักษณะอันพึงประสงค์!Q26)</f>
        <v/>
      </c>
      <c r="CR23" t="str">
        <f>IF(คุณลักษณะอันพึงประสงค์!R26="","",คุณลักษณะอันพึงประสงค์!R26)</f>
        <v/>
      </c>
      <c r="CS23" t="str">
        <f>IF(คุณลักษณะอันพึงประสงค์!S26="","",คุณลักษณะอันพึงประสงค์!S26)</f>
        <v/>
      </c>
      <c r="CT23" t="str">
        <f>IF(คุณลักษณะอันพึงประสงค์!T26="","",คุณลักษณะอันพึงประสงค์!T26)</f>
        <v/>
      </c>
      <c r="CU23" t="str">
        <f>IF(คุณลักษณะอันพึงประสงค์!U26="","",คุณลักษณะอันพึงประสงค์!U26)</f>
        <v/>
      </c>
      <c r="CV23" t="str">
        <f>IF(คุณลักษณะอันพึงประสงค์!V26="","",คุณลักษณะอันพึงประสงค์!V26)</f>
        <v/>
      </c>
      <c r="CW23" t="str">
        <f>IF(คุณลักษณะอันพึงประสงค์!W26="","",คุณลักษณะอันพึงประสงค์!W26)</f>
        <v/>
      </c>
    </row>
    <row r="24" spans="1:101">
      <c r="A24" t="str">
        <f>IF(คะแนนเก็บ!B27="","",คะแนนเก็บ!B27)</f>
        <v/>
      </c>
      <c r="B24" t="str">
        <f>IF(คะแนนเก็บ!D27="","",คะแนนเก็บ!D27)</f>
        <v/>
      </c>
      <c r="C24" t="str">
        <f>IF(คะแนนเก็บ!E27="","",คะแนนเก็บ!E27)</f>
        <v/>
      </c>
      <c r="D24" t="str">
        <f>IF(คะแนนเก็บ!F27="","",คะแนนเก็บ!F27)</f>
        <v/>
      </c>
      <c r="E24" t="str">
        <f>IF(คะแนนเก็บ!G27="","",คะแนนเก็บ!G27)</f>
        <v/>
      </c>
      <c r="F24" t="str">
        <f>IF(คะแนนเก็บ!H27="","",คะแนนเก็บ!H27)</f>
        <v/>
      </c>
      <c r="G24" t="str">
        <f>IF(คะแนนเก็บ!I27="","",คะแนนเก็บ!I27)</f>
        <v/>
      </c>
      <c r="H24" t="str">
        <f>IF(คะแนนเก็บ!J27="","",คะแนนเก็บ!J27)</f>
        <v/>
      </c>
      <c r="I24" t="str">
        <f>IF(คะแนนเก็บ!K27="","",คะแนนเก็บ!K27)</f>
        <v/>
      </c>
      <c r="J24" t="str">
        <f>IF(คะแนนเก็บ!L27="","",คะแนนเก็บ!L27)</f>
        <v/>
      </c>
      <c r="K24" t="str">
        <f>IF(คะแนนเก็บ!M27="","",คะแนนเก็บ!M27)</f>
        <v/>
      </c>
      <c r="L24" t="str">
        <f>IF(คะแนนเก็บ!N27="","",คะแนนเก็บ!N27)</f>
        <v/>
      </c>
      <c r="M24" t="str">
        <f>IF(คะแนนเก็บ!O27="","",คะแนนเก็บ!O27)</f>
        <v/>
      </c>
      <c r="N24" t="str">
        <f>IF(คะแนนเก็บ!P27="","",คะแนนเก็บ!P27)</f>
        <v/>
      </c>
      <c r="O24" t="str">
        <f>IF(คะแนนเก็บ!Q27="","",คะแนนเก็บ!Q27)</f>
        <v/>
      </c>
      <c r="P24" t="str">
        <f>IF(คะแนนเก็บ!R27="","",คะแนนเก็บ!R27)</f>
        <v/>
      </c>
      <c r="Q24" t="str">
        <f>IF(คะแนนเก็บ!S27="","",คะแนนเก็บ!S27)</f>
        <v/>
      </c>
      <c r="R24" t="str">
        <f>IF(คะแนนเก็บ!T27="","",คะแนนเก็บ!T27)</f>
        <v/>
      </c>
      <c r="S24" t="str">
        <f>IF(คะแนนเก็บ!U27="","",คะแนนเก็บ!U27)</f>
        <v/>
      </c>
      <c r="T24" t="str">
        <f>IF(คะแนนเก็บ!V27="","",คะแนนเก็บ!V27)</f>
        <v/>
      </c>
      <c r="U24" t="str">
        <f>IF(คะแนนเก็บ!W27="","",คะแนนเก็บ!W27)</f>
        <v/>
      </c>
      <c r="V24" t="str">
        <f>IF(คะแนนเก็บหลังกลางภาค!D27="","",คะแนนเก็บหลังกลางภาค!D27)</f>
        <v/>
      </c>
      <c r="W24" t="str">
        <f>IF(คะแนนเก็บหลังกลางภาค!E27="","",คะแนนเก็บหลังกลางภาค!E27)</f>
        <v/>
      </c>
      <c r="X24" t="str">
        <f>IF(คะแนนเก็บหลังกลางภาค!F27="","",คะแนนเก็บหลังกลางภาค!F27)</f>
        <v/>
      </c>
      <c r="Y24" t="str">
        <f>IF(คะแนนเก็บหลังกลางภาค!G27="","",คะแนนเก็บหลังกลางภาค!G27)</f>
        <v/>
      </c>
      <c r="Z24" t="str">
        <f>IF(คะแนนเก็บหลังกลางภาค!H27="","",คะแนนเก็บหลังกลางภาค!H27)</f>
        <v/>
      </c>
      <c r="AA24" t="str">
        <f>IF(คะแนนเก็บหลังกลางภาค!I27="","",คะแนนเก็บหลังกลางภาค!I27)</f>
        <v/>
      </c>
      <c r="AB24" t="str">
        <f>IF(คะแนนเก็บหลังกลางภาค!J27="","",คะแนนเก็บหลังกลางภาค!J27)</f>
        <v/>
      </c>
      <c r="AC24" t="str">
        <f>IF(คะแนนเก็บหลังกลางภาค!K27="","",คะแนนเก็บหลังกลางภาค!K27)</f>
        <v/>
      </c>
      <c r="AD24" t="str">
        <f>IF(คะแนนเก็บหลังกลางภาค!L27="","",คะแนนเก็บหลังกลางภาค!L27)</f>
        <v/>
      </c>
      <c r="AE24" t="str">
        <f>IF(คะแนนเก็บหลังกลางภาค!M27="","",คะแนนเก็บหลังกลางภาค!M27)</f>
        <v/>
      </c>
      <c r="AF24" t="str">
        <f>IF(คะแนนเก็บหลังกลางภาค!N27="","",คะแนนเก็บหลังกลางภาค!N27)</f>
        <v/>
      </c>
      <c r="AG24" t="str">
        <f>IF(คะแนนเก็บหลังกลางภาค!O27="","",คะแนนเก็บหลังกลางภาค!O27)</f>
        <v/>
      </c>
      <c r="AH24" t="str">
        <f>IF(คะแนนเก็บหลังกลางภาค!P27="","",คะแนนเก็บหลังกลางภาค!P27)</f>
        <v/>
      </c>
      <c r="AI24" t="str">
        <f>IF(คะแนนเก็บหลังกลางภาค!Q27="","",คะแนนเก็บหลังกลางภาค!Q27)</f>
        <v/>
      </c>
      <c r="AJ24" t="str">
        <f>IF(คะแนนเก็บหลังกลางภาค!R27="","",คะแนนเก็บหลังกลางภาค!R27)</f>
        <v/>
      </c>
      <c r="AK24" t="str">
        <f>IF(คะแนนเก็บหลังกลางภาค!S27="","",คะแนนเก็บหลังกลางภาค!S27)</f>
        <v/>
      </c>
      <c r="AL24" t="str">
        <f>IF(คะแนนเก็บหลังกลางภาค!T27="","",คะแนนเก็บหลังกลางภาค!T27)</f>
        <v/>
      </c>
      <c r="AM24" t="str">
        <f>IF(คะแนนเก็บหลังกลางภาค!U27="","",คะแนนเก็บหลังกลางภาค!U27)</f>
        <v/>
      </c>
      <c r="AN24" t="str">
        <f>IF(คะแนนเก็บหลังกลางภาค!V27="","",คะแนนเก็บหลังกลางภาค!V27)</f>
        <v/>
      </c>
      <c r="AO24" t="str">
        <f>IF(คะแนนเก็บหลังกลางภาค!W27="","",คะแนนเก็บหลังกลางภาค!W27)</f>
        <v/>
      </c>
      <c r="AP24" t="str">
        <f>IF(คุณลักษณะอันพึงประสงค์!D27="","",คุณลักษณะอันพึงประสงค์!D27)</f>
        <v/>
      </c>
      <c r="AQ24" t="str">
        <f>IF(คุณลักษณะอันพึงประสงค์!E27="","",คุณลักษณะอันพึงประสงค์!E27)</f>
        <v/>
      </c>
      <c r="AR24" t="str">
        <f>IF(คุณลักษณะอันพึงประสงค์!F27="","",คุณลักษณะอันพึงประสงค์!F27)</f>
        <v/>
      </c>
      <c r="AS24" t="str">
        <f>IF(คุณลักษณะอันพึงประสงค์!G27="","",คุณลักษณะอันพึงประสงค์!G27)</f>
        <v/>
      </c>
      <c r="AT24" t="str">
        <f>IF(คุณลักษณะอันพึงประสงค์!H27="","",คุณลักษณะอันพึงประสงค์!H27)</f>
        <v/>
      </c>
      <c r="AU24" t="str">
        <f>IF(คุณลักษณะอันพึงประสงค์!I27="","",คุณลักษณะอันพึงประสงค์!I27)</f>
        <v/>
      </c>
      <c r="AV24" t="str">
        <f>IF(คุณลักษณะอันพึงประสงค์!J27="","",คุณลักษณะอันพึงประสงค์!J27)</f>
        <v/>
      </c>
      <c r="AW24" t="str">
        <f>IF(คุณลักษณะอันพึงประสงค์!K27="","",คุณลักษณะอันพึงประสงค์!K27)</f>
        <v/>
      </c>
      <c r="AX24" t="str">
        <f>IF(คุณลักษณะอันพึงประสงค์!L27="","",คุณลักษณะอันพึงประสงค์!L27)</f>
        <v/>
      </c>
      <c r="AY24" t="str">
        <f>IF(คุณลักษณะอันพึงประสงค์!M27="","",คุณลักษณะอันพึงประสงค์!M27)</f>
        <v/>
      </c>
      <c r="AZ24" t="str">
        <f>IF(กลางภาค!D27="","",กลางภาค!D27)</f>
        <v/>
      </c>
      <c r="BA24" t="str">
        <f>IF(กลางภาค!E27="","",กลางภาค!E27)</f>
        <v/>
      </c>
      <c r="BB24" t="str">
        <f>IF(กลางภาค!F27="","",กลางภาค!F27)</f>
        <v/>
      </c>
      <c r="BC24" t="str">
        <f>IF(กลางภาค!G27="","",กลางภาค!G27)</f>
        <v/>
      </c>
      <c r="BD24" t="str">
        <f>IF(กลางภาค!H27="","",กลางภาค!H27)</f>
        <v/>
      </c>
      <c r="BE24" t="str">
        <f>IF(กลางภาค!I27="","",กลางภาค!I27)</f>
        <v/>
      </c>
      <c r="BF24" t="str">
        <f>IF(กลางภาค!J27="","",กลางภาค!J27)</f>
        <v/>
      </c>
      <c r="BG24" t="str">
        <f>IF(กลางภาค!K27="","",กลางภาค!K27)</f>
        <v/>
      </c>
      <c r="BH24" t="str">
        <f>IF(กลางภาค!L27="","",กลางภาค!L27)</f>
        <v/>
      </c>
      <c r="BI24" t="str">
        <f>IF(กลางภาค!M27="","",กลางภาค!M27)</f>
        <v/>
      </c>
      <c r="BJ24" t="str">
        <f>IF(ปลายภาค!D27="","",ปลายภาค!D27)</f>
        <v/>
      </c>
      <c r="BK24" t="str">
        <f>IF(ปลายภาค!E27="","",ปลายภาค!E27)</f>
        <v/>
      </c>
      <c r="BL24" t="str">
        <f>IF(ปลายภาค!F27="","",ปลายภาค!F27)</f>
        <v/>
      </c>
      <c r="BM24" t="str">
        <f>IF(ปลายภาค!G27="","",ปลายภาค!G27)</f>
        <v/>
      </c>
      <c r="BN24" t="str">
        <f>IF(ปลายภาค!H27="","",ปลายภาค!H27)</f>
        <v/>
      </c>
      <c r="BO24" t="str">
        <f>IF(ปลายภาค!I27="","",ปลายภาค!I27)</f>
        <v/>
      </c>
      <c r="BP24" t="str">
        <f>IF(ปลายภาค!J27="","",ปลายภาค!J27)</f>
        <v/>
      </c>
      <c r="BQ24" t="str">
        <f>IF(ปลายภาค!K27="","",ปลายภาค!K27)</f>
        <v/>
      </c>
      <c r="BR24" t="str">
        <f>IF(ปลายภาค!L27="","",ปลายภาค!L27)</f>
        <v/>
      </c>
      <c r="BS24" t="str">
        <f>IF(ปลายภาค!M27="","",ปลายภาค!M27)</f>
        <v/>
      </c>
      <c r="BT24" t="str">
        <f>IF(กลางภาค!N27="","",กลางภาค!N27)</f>
        <v/>
      </c>
      <c r="BU24" t="str">
        <f>IF(ปลายภาค!N27="","",ปลายภาค!N27)</f>
        <v/>
      </c>
      <c r="BV24" t="str">
        <f>IF(คุณลักษณะอันพึงประสงค์!X27="","",คุณลักษณะอันพึงประสงค์!X27)</f>
        <v/>
      </c>
      <c r="BW24" t="str">
        <f>IF(อ่านคิดวิเคราะห์!I27="","",อ่านคิดวิเคราะห์!I27)</f>
        <v/>
      </c>
      <c r="BX24" t="str">
        <f>IF(สมรรถนะ!N27="","",สมรรถนะ!N27)</f>
        <v/>
      </c>
      <c r="BY24" t="str">
        <f>IF(อ่านคิดวิเคราะห์!D27="","",อ่านคิดวิเคราะห์!D27)</f>
        <v/>
      </c>
      <c r="BZ24" t="str">
        <f>IF(อ่านคิดวิเคราะห์!E27="","",อ่านคิดวิเคราะห์!E27)</f>
        <v/>
      </c>
      <c r="CA24" t="str">
        <f>IF(อ่านคิดวิเคราะห์!F27="","",อ่านคิดวิเคราะห์!F27)</f>
        <v/>
      </c>
      <c r="CB24" t="str">
        <f>IF(อ่านคิดวิเคราะห์!G27="","",อ่านคิดวิเคราะห์!G27)</f>
        <v/>
      </c>
      <c r="CC24" t="str">
        <f>IF(อ่านคิดวิเคราะห์!H27="","",อ่านคิดวิเคราะห์!H27)</f>
        <v/>
      </c>
      <c r="CD24" t="str">
        <f>IF(สมรรถนะ!D27="","",สมรรถนะ!D27)</f>
        <v/>
      </c>
      <c r="CE24" t="str">
        <f>IF(สมรรถนะ!E27="","",สมรรถนะ!E27)</f>
        <v/>
      </c>
      <c r="CF24" t="str">
        <f>IF(สมรรถนะ!F27="","",สมรรถนะ!F27)</f>
        <v/>
      </c>
      <c r="CG24" t="str">
        <f>IF(สมรรถนะ!G27="","",สมรรถนะ!G27)</f>
        <v/>
      </c>
      <c r="CH24" t="str">
        <f>IF(สมรรถนะ!H27="","",สมรรถนะ!H27)</f>
        <v/>
      </c>
      <c r="CI24" t="str">
        <f>IF(สมรรถนะ!I27="","",สมรรถนะ!I27)</f>
        <v/>
      </c>
      <c r="CJ24" t="str">
        <f>IF(สมรรถนะ!J27="","",สมรรถนะ!J27)</f>
        <v/>
      </c>
      <c r="CK24" t="str">
        <f>IF(สมรรถนะ!K27="","",สมรรถนะ!K27)</f>
        <v/>
      </c>
      <c r="CL24" t="str">
        <f>IF(สมรรถนะ!L27="","",สมรรถนะ!L27)</f>
        <v/>
      </c>
      <c r="CM24" t="str">
        <f>IF(สมรรถนะ!M27="","",สมรรถนะ!M27)</f>
        <v/>
      </c>
      <c r="CN24" t="str">
        <f>IF(คุณลักษณะอันพึงประสงค์!N27="","",คุณลักษณะอันพึงประสงค์!N27)</f>
        <v/>
      </c>
      <c r="CO24" t="str">
        <f>IF(คุณลักษณะอันพึงประสงค์!O27="","",คุณลักษณะอันพึงประสงค์!O27)</f>
        <v/>
      </c>
      <c r="CP24" t="str">
        <f>IF(คุณลักษณะอันพึงประสงค์!P27="","",คุณลักษณะอันพึงประสงค์!P27)</f>
        <v/>
      </c>
      <c r="CQ24" t="str">
        <f>IF(คุณลักษณะอันพึงประสงค์!Q27="","",คุณลักษณะอันพึงประสงค์!Q27)</f>
        <v/>
      </c>
      <c r="CR24" t="str">
        <f>IF(คุณลักษณะอันพึงประสงค์!R27="","",คุณลักษณะอันพึงประสงค์!R27)</f>
        <v/>
      </c>
      <c r="CS24" t="str">
        <f>IF(คุณลักษณะอันพึงประสงค์!S27="","",คุณลักษณะอันพึงประสงค์!S27)</f>
        <v/>
      </c>
      <c r="CT24" t="str">
        <f>IF(คุณลักษณะอันพึงประสงค์!T27="","",คุณลักษณะอันพึงประสงค์!T27)</f>
        <v/>
      </c>
      <c r="CU24" t="str">
        <f>IF(คุณลักษณะอันพึงประสงค์!U27="","",คุณลักษณะอันพึงประสงค์!U27)</f>
        <v/>
      </c>
      <c r="CV24" t="str">
        <f>IF(คุณลักษณะอันพึงประสงค์!V27="","",คุณลักษณะอันพึงประสงค์!V27)</f>
        <v/>
      </c>
      <c r="CW24" t="str">
        <f>IF(คุณลักษณะอันพึงประสงค์!W27="","",คุณลักษณะอันพึงประสงค์!W27)</f>
        <v/>
      </c>
    </row>
    <row r="25" spans="1:101">
      <c r="A25" t="str">
        <f>IF(คะแนนเก็บ!B28="","",คะแนนเก็บ!B28)</f>
        <v/>
      </c>
      <c r="B25" t="str">
        <f>IF(คะแนนเก็บ!D28="","",คะแนนเก็บ!D28)</f>
        <v/>
      </c>
      <c r="C25" t="str">
        <f>IF(คะแนนเก็บ!E28="","",คะแนนเก็บ!E28)</f>
        <v/>
      </c>
      <c r="D25" t="str">
        <f>IF(คะแนนเก็บ!F28="","",คะแนนเก็บ!F28)</f>
        <v/>
      </c>
      <c r="E25" t="str">
        <f>IF(คะแนนเก็บ!G28="","",คะแนนเก็บ!G28)</f>
        <v/>
      </c>
      <c r="F25" t="str">
        <f>IF(คะแนนเก็บ!H28="","",คะแนนเก็บ!H28)</f>
        <v/>
      </c>
      <c r="G25" t="str">
        <f>IF(คะแนนเก็บ!I28="","",คะแนนเก็บ!I28)</f>
        <v/>
      </c>
      <c r="H25" t="str">
        <f>IF(คะแนนเก็บ!J28="","",คะแนนเก็บ!J28)</f>
        <v/>
      </c>
      <c r="I25" t="str">
        <f>IF(คะแนนเก็บ!K28="","",คะแนนเก็บ!K28)</f>
        <v/>
      </c>
      <c r="J25" t="str">
        <f>IF(คะแนนเก็บ!L28="","",คะแนนเก็บ!L28)</f>
        <v/>
      </c>
      <c r="K25" t="str">
        <f>IF(คะแนนเก็บ!M28="","",คะแนนเก็บ!M28)</f>
        <v/>
      </c>
      <c r="L25" t="str">
        <f>IF(คะแนนเก็บ!N28="","",คะแนนเก็บ!N28)</f>
        <v/>
      </c>
      <c r="M25" t="str">
        <f>IF(คะแนนเก็บ!O28="","",คะแนนเก็บ!O28)</f>
        <v/>
      </c>
      <c r="N25" t="str">
        <f>IF(คะแนนเก็บ!P28="","",คะแนนเก็บ!P28)</f>
        <v/>
      </c>
      <c r="O25" t="str">
        <f>IF(คะแนนเก็บ!Q28="","",คะแนนเก็บ!Q28)</f>
        <v/>
      </c>
      <c r="P25" t="str">
        <f>IF(คะแนนเก็บ!R28="","",คะแนนเก็บ!R28)</f>
        <v/>
      </c>
      <c r="Q25" t="str">
        <f>IF(คะแนนเก็บ!S28="","",คะแนนเก็บ!S28)</f>
        <v/>
      </c>
      <c r="R25" t="str">
        <f>IF(คะแนนเก็บ!T28="","",คะแนนเก็บ!T28)</f>
        <v/>
      </c>
      <c r="S25" t="str">
        <f>IF(คะแนนเก็บ!U28="","",คะแนนเก็บ!U28)</f>
        <v/>
      </c>
      <c r="T25" t="str">
        <f>IF(คะแนนเก็บ!V28="","",คะแนนเก็บ!V28)</f>
        <v/>
      </c>
      <c r="U25" t="str">
        <f>IF(คะแนนเก็บ!W28="","",คะแนนเก็บ!W28)</f>
        <v/>
      </c>
      <c r="V25" t="str">
        <f>IF(คะแนนเก็บหลังกลางภาค!D28="","",คะแนนเก็บหลังกลางภาค!D28)</f>
        <v/>
      </c>
      <c r="W25" t="str">
        <f>IF(คะแนนเก็บหลังกลางภาค!E28="","",คะแนนเก็บหลังกลางภาค!E28)</f>
        <v/>
      </c>
      <c r="X25" t="str">
        <f>IF(คะแนนเก็บหลังกลางภาค!F28="","",คะแนนเก็บหลังกลางภาค!F28)</f>
        <v/>
      </c>
      <c r="Y25" t="str">
        <f>IF(คะแนนเก็บหลังกลางภาค!G28="","",คะแนนเก็บหลังกลางภาค!G28)</f>
        <v/>
      </c>
      <c r="Z25" t="str">
        <f>IF(คะแนนเก็บหลังกลางภาค!H28="","",คะแนนเก็บหลังกลางภาค!H28)</f>
        <v/>
      </c>
      <c r="AA25" t="str">
        <f>IF(คะแนนเก็บหลังกลางภาค!I28="","",คะแนนเก็บหลังกลางภาค!I28)</f>
        <v/>
      </c>
      <c r="AB25" t="str">
        <f>IF(คะแนนเก็บหลังกลางภาค!J28="","",คะแนนเก็บหลังกลางภาค!J28)</f>
        <v/>
      </c>
      <c r="AC25" t="str">
        <f>IF(คะแนนเก็บหลังกลางภาค!K28="","",คะแนนเก็บหลังกลางภาค!K28)</f>
        <v/>
      </c>
      <c r="AD25" t="str">
        <f>IF(คะแนนเก็บหลังกลางภาค!L28="","",คะแนนเก็บหลังกลางภาค!L28)</f>
        <v/>
      </c>
      <c r="AE25" t="str">
        <f>IF(คะแนนเก็บหลังกลางภาค!M28="","",คะแนนเก็บหลังกลางภาค!M28)</f>
        <v/>
      </c>
      <c r="AF25" t="str">
        <f>IF(คะแนนเก็บหลังกลางภาค!N28="","",คะแนนเก็บหลังกลางภาค!N28)</f>
        <v/>
      </c>
      <c r="AG25" t="str">
        <f>IF(คะแนนเก็บหลังกลางภาค!O28="","",คะแนนเก็บหลังกลางภาค!O28)</f>
        <v/>
      </c>
      <c r="AH25" t="str">
        <f>IF(คะแนนเก็บหลังกลางภาค!P28="","",คะแนนเก็บหลังกลางภาค!P28)</f>
        <v/>
      </c>
      <c r="AI25" t="str">
        <f>IF(คะแนนเก็บหลังกลางภาค!Q28="","",คะแนนเก็บหลังกลางภาค!Q28)</f>
        <v/>
      </c>
      <c r="AJ25" t="str">
        <f>IF(คะแนนเก็บหลังกลางภาค!R28="","",คะแนนเก็บหลังกลางภาค!R28)</f>
        <v/>
      </c>
      <c r="AK25" t="str">
        <f>IF(คะแนนเก็บหลังกลางภาค!S28="","",คะแนนเก็บหลังกลางภาค!S28)</f>
        <v/>
      </c>
      <c r="AL25" t="str">
        <f>IF(คะแนนเก็บหลังกลางภาค!T28="","",คะแนนเก็บหลังกลางภาค!T28)</f>
        <v/>
      </c>
      <c r="AM25" t="str">
        <f>IF(คะแนนเก็บหลังกลางภาค!U28="","",คะแนนเก็บหลังกลางภาค!U28)</f>
        <v/>
      </c>
      <c r="AN25" t="str">
        <f>IF(คะแนนเก็บหลังกลางภาค!V28="","",คะแนนเก็บหลังกลางภาค!V28)</f>
        <v/>
      </c>
      <c r="AO25" t="str">
        <f>IF(คะแนนเก็บหลังกลางภาค!W28="","",คะแนนเก็บหลังกลางภาค!W28)</f>
        <v/>
      </c>
      <c r="AP25" t="str">
        <f>IF(คุณลักษณะอันพึงประสงค์!D28="","",คุณลักษณะอันพึงประสงค์!D28)</f>
        <v/>
      </c>
      <c r="AQ25" t="str">
        <f>IF(คุณลักษณะอันพึงประสงค์!E28="","",คุณลักษณะอันพึงประสงค์!E28)</f>
        <v/>
      </c>
      <c r="AR25" t="str">
        <f>IF(คุณลักษณะอันพึงประสงค์!F28="","",คุณลักษณะอันพึงประสงค์!F28)</f>
        <v/>
      </c>
      <c r="AS25" t="str">
        <f>IF(คุณลักษณะอันพึงประสงค์!G28="","",คุณลักษณะอันพึงประสงค์!G28)</f>
        <v/>
      </c>
      <c r="AT25" t="str">
        <f>IF(คุณลักษณะอันพึงประสงค์!H28="","",คุณลักษณะอันพึงประสงค์!H28)</f>
        <v/>
      </c>
      <c r="AU25" t="str">
        <f>IF(คุณลักษณะอันพึงประสงค์!I28="","",คุณลักษณะอันพึงประสงค์!I28)</f>
        <v/>
      </c>
      <c r="AV25" t="str">
        <f>IF(คุณลักษณะอันพึงประสงค์!J28="","",คุณลักษณะอันพึงประสงค์!J28)</f>
        <v/>
      </c>
      <c r="AW25" t="str">
        <f>IF(คุณลักษณะอันพึงประสงค์!K28="","",คุณลักษณะอันพึงประสงค์!K28)</f>
        <v/>
      </c>
      <c r="AX25" t="str">
        <f>IF(คุณลักษณะอันพึงประสงค์!L28="","",คุณลักษณะอันพึงประสงค์!L28)</f>
        <v/>
      </c>
      <c r="AY25" t="str">
        <f>IF(คุณลักษณะอันพึงประสงค์!M28="","",คุณลักษณะอันพึงประสงค์!M28)</f>
        <v/>
      </c>
      <c r="AZ25" t="str">
        <f>IF(กลางภาค!D28="","",กลางภาค!D28)</f>
        <v/>
      </c>
      <c r="BA25" t="str">
        <f>IF(กลางภาค!E28="","",กลางภาค!E28)</f>
        <v/>
      </c>
      <c r="BB25" t="str">
        <f>IF(กลางภาค!F28="","",กลางภาค!F28)</f>
        <v/>
      </c>
      <c r="BC25" t="str">
        <f>IF(กลางภาค!G28="","",กลางภาค!G28)</f>
        <v/>
      </c>
      <c r="BD25" t="str">
        <f>IF(กลางภาค!H28="","",กลางภาค!H28)</f>
        <v/>
      </c>
      <c r="BE25" t="str">
        <f>IF(กลางภาค!I28="","",กลางภาค!I28)</f>
        <v/>
      </c>
      <c r="BF25" t="str">
        <f>IF(กลางภาค!J28="","",กลางภาค!J28)</f>
        <v/>
      </c>
      <c r="BG25" t="str">
        <f>IF(กลางภาค!K28="","",กลางภาค!K28)</f>
        <v/>
      </c>
      <c r="BH25" t="str">
        <f>IF(กลางภาค!L28="","",กลางภาค!L28)</f>
        <v/>
      </c>
      <c r="BI25" t="str">
        <f>IF(กลางภาค!M28="","",กลางภาค!M28)</f>
        <v/>
      </c>
      <c r="BJ25" t="str">
        <f>IF(ปลายภาค!D28="","",ปลายภาค!D28)</f>
        <v/>
      </c>
      <c r="BK25" t="str">
        <f>IF(ปลายภาค!E28="","",ปลายภาค!E28)</f>
        <v/>
      </c>
      <c r="BL25" t="str">
        <f>IF(ปลายภาค!F28="","",ปลายภาค!F28)</f>
        <v/>
      </c>
      <c r="BM25" t="str">
        <f>IF(ปลายภาค!G28="","",ปลายภาค!G28)</f>
        <v/>
      </c>
      <c r="BN25" t="str">
        <f>IF(ปลายภาค!H28="","",ปลายภาค!H28)</f>
        <v/>
      </c>
      <c r="BO25" t="str">
        <f>IF(ปลายภาค!I28="","",ปลายภาค!I28)</f>
        <v/>
      </c>
      <c r="BP25" t="str">
        <f>IF(ปลายภาค!J28="","",ปลายภาค!J28)</f>
        <v/>
      </c>
      <c r="BQ25" t="str">
        <f>IF(ปลายภาค!K28="","",ปลายภาค!K28)</f>
        <v/>
      </c>
      <c r="BR25" t="str">
        <f>IF(ปลายภาค!L28="","",ปลายภาค!L28)</f>
        <v/>
      </c>
      <c r="BS25" t="str">
        <f>IF(ปลายภาค!M28="","",ปลายภาค!M28)</f>
        <v/>
      </c>
      <c r="BT25" t="str">
        <f>IF(กลางภาค!N28="","",กลางภาค!N28)</f>
        <v/>
      </c>
      <c r="BU25" t="str">
        <f>IF(ปลายภาค!N28="","",ปลายภาค!N28)</f>
        <v/>
      </c>
      <c r="BV25" t="str">
        <f>IF(คุณลักษณะอันพึงประสงค์!X28="","",คุณลักษณะอันพึงประสงค์!X28)</f>
        <v/>
      </c>
      <c r="BW25" t="str">
        <f>IF(อ่านคิดวิเคราะห์!I28="","",อ่านคิดวิเคราะห์!I28)</f>
        <v/>
      </c>
      <c r="BX25" t="str">
        <f>IF(สมรรถนะ!N28="","",สมรรถนะ!N28)</f>
        <v/>
      </c>
      <c r="BY25" t="str">
        <f>IF(อ่านคิดวิเคราะห์!D28="","",อ่านคิดวิเคราะห์!D28)</f>
        <v/>
      </c>
      <c r="BZ25" t="str">
        <f>IF(อ่านคิดวิเคราะห์!E28="","",อ่านคิดวิเคราะห์!E28)</f>
        <v/>
      </c>
      <c r="CA25" t="str">
        <f>IF(อ่านคิดวิเคราะห์!F28="","",อ่านคิดวิเคราะห์!F28)</f>
        <v/>
      </c>
      <c r="CB25" t="str">
        <f>IF(อ่านคิดวิเคราะห์!G28="","",อ่านคิดวิเคราะห์!G28)</f>
        <v/>
      </c>
      <c r="CC25" t="str">
        <f>IF(อ่านคิดวิเคราะห์!H28="","",อ่านคิดวิเคราะห์!H28)</f>
        <v/>
      </c>
      <c r="CD25" t="str">
        <f>IF(สมรรถนะ!D28="","",สมรรถนะ!D28)</f>
        <v/>
      </c>
      <c r="CE25" t="str">
        <f>IF(สมรรถนะ!E28="","",สมรรถนะ!E28)</f>
        <v/>
      </c>
      <c r="CF25" t="str">
        <f>IF(สมรรถนะ!F28="","",สมรรถนะ!F28)</f>
        <v/>
      </c>
      <c r="CG25" t="str">
        <f>IF(สมรรถนะ!G28="","",สมรรถนะ!G28)</f>
        <v/>
      </c>
      <c r="CH25" t="str">
        <f>IF(สมรรถนะ!H28="","",สมรรถนะ!H28)</f>
        <v/>
      </c>
      <c r="CI25" t="str">
        <f>IF(สมรรถนะ!I28="","",สมรรถนะ!I28)</f>
        <v/>
      </c>
      <c r="CJ25" t="str">
        <f>IF(สมรรถนะ!J28="","",สมรรถนะ!J28)</f>
        <v/>
      </c>
      <c r="CK25" t="str">
        <f>IF(สมรรถนะ!K28="","",สมรรถนะ!K28)</f>
        <v/>
      </c>
      <c r="CL25" t="str">
        <f>IF(สมรรถนะ!L28="","",สมรรถนะ!L28)</f>
        <v/>
      </c>
      <c r="CM25" t="str">
        <f>IF(สมรรถนะ!M28="","",สมรรถนะ!M28)</f>
        <v/>
      </c>
      <c r="CN25" t="str">
        <f>IF(คุณลักษณะอันพึงประสงค์!N28="","",คุณลักษณะอันพึงประสงค์!N28)</f>
        <v/>
      </c>
      <c r="CO25" t="str">
        <f>IF(คุณลักษณะอันพึงประสงค์!O28="","",คุณลักษณะอันพึงประสงค์!O28)</f>
        <v/>
      </c>
      <c r="CP25" t="str">
        <f>IF(คุณลักษณะอันพึงประสงค์!P28="","",คุณลักษณะอันพึงประสงค์!P28)</f>
        <v/>
      </c>
      <c r="CQ25" t="str">
        <f>IF(คุณลักษณะอันพึงประสงค์!Q28="","",คุณลักษณะอันพึงประสงค์!Q28)</f>
        <v/>
      </c>
      <c r="CR25" t="str">
        <f>IF(คุณลักษณะอันพึงประสงค์!R28="","",คุณลักษณะอันพึงประสงค์!R28)</f>
        <v/>
      </c>
      <c r="CS25" t="str">
        <f>IF(คุณลักษณะอันพึงประสงค์!S28="","",คุณลักษณะอันพึงประสงค์!S28)</f>
        <v/>
      </c>
      <c r="CT25" t="str">
        <f>IF(คุณลักษณะอันพึงประสงค์!T28="","",คุณลักษณะอันพึงประสงค์!T28)</f>
        <v/>
      </c>
      <c r="CU25" t="str">
        <f>IF(คุณลักษณะอันพึงประสงค์!U28="","",คุณลักษณะอันพึงประสงค์!U28)</f>
        <v/>
      </c>
      <c r="CV25" t="str">
        <f>IF(คุณลักษณะอันพึงประสงค์!V28="","",คุณลักษณะอันพึงประสงค์!V28)</f>
        <v/>
      </c>
      <c r="CW25" t="str">
        <f>IF(คุณลักษณะอันพึงประสงค์!W28="","",คุณลักษณะอันพึงประสงค์!W28)</f>
        <v/>
      </c>
    </row>
    <row r="26" spans="1:101">
      <c r="A26" t="str">
        <f>IF(คะแนนเก็บ!B29="","",คะแนนเก็บ!B29)</f>
        <v/>
      </c>
      <c r="B26" t="str">
        <f>IF(คะแนนเก็บ!D29="","",คะแนนเก็บ!D29)</f>
        <v/>
      </c>
      <c r="C26" t="str">
        <f>IF(คะแนนเก็บ!E29="","",คะแนนเก็บ!E29)</f>
        <v/>
      </c>
      <c r="D26" t="str">
        <f>IF(คะแนนเก็บ!F29="","",คะแนนเก็บ!F29)</f>
        <v/>
      </c>
      <c r="E26" t="str">
        <f>IF(คะแนนเก็บ!G29="","",คะแนนเก็บ!G29)</f>
        <v/>
      </c>
      <c r="F26" t="str">
        <f>IF(คะแนนเก็บ!H29="","",คะแนนเก็บ!H29)</f>
        <v/>
      </c>
      <c r="G26" t="str">
        <f>IF(คะแนนเก็บ!I29="","",คะแนนเก็บ!I29)</f>
        <v/>
      </c>
      <c r="H26" t="str">
        <f>IF(คะแนนเก็บ!J29="","",คะแนนเก็บ!J29)</f>
        <v/>
      </c>
      <c r="I26" t="str">
        <f>IF(คะแนนเก็บ!K29="","",คะแนนเก็บ!K29)</f>
        <v/>
      </c>
      <c r="J26" t="str">
        <f>IF(คะแนนเก็บ!L29="","",คะแนนเก็บ!L29)</f>
        <v/>
      </c>
      <c r="K26" t="str">
        <f>IF(คะแนนเก็บ!M29="","",คะแนนเก็บ!M29)</f>
        <v/>
      </c>
      <c r="L26" t="str">
        <f>IF(คะแนนเก็บ!N29="","",คะแนนเก็บ!N29)</f>
        <v/>
      </c>
      <c r="M26" t="str">
        <f>IF(คะแนนเก็บ!O29="","",คะแนนเก็บ!O29)</f>
        <v/>
      </c>
      <c r="N26" t="str">
        <f>IF(คะแนนเก็บ!P29="","",คะแนนเก็บ!P29)</f>
        <v/>
      </c>
      <c r="O26" t="str">
        <f>IF(คะแนนเก็บ!Q29="","",คะแนนเก็บ!Q29)</f>
        <v/>
      </c>
      <c r="P26" t="str">
        <f>IF(คะแนนเก็บ!R29="","",คะแนนเก็บ!R29)</f>
        <v/>
      </c>
      <c r="Q26" t="str">
        <f>IF(คะแนนเก็บ!S29="","",คะแนนเก็บ!S29)</f>
        <v/>
      </c>
      <c r="R26" t="str">
        <f>IF(คะแนนเก็บ!T29="","",คะแนนเก็บ!T29)</f>
        <v/>
      </c>
      <c r="S26" t="str">
        <f>IF(คะแนนเก็บ!U29="","",คะแนนเก็บ!U29)</f>
        <v/>
      </c>
      <c r="T26" t="str">
        <f>IF(คะแนนเก็บ!V29="","",คะแนนเก็บ!V29)</f>
        <v/>
      </c>
      <c r="U26" t="str">
        <f>IF(คะแนนเก็บ!W29="","",คะแนนเก็บ!W29)</f>
        <v/>
      </c>
      <c r="V26" t="str">
        <f>IF(คะแนนเก็บหลังกลางภาค!D29="","",คะแนนเก็บหลังกลางภาค!D29)</f>
        <v/>
      </c>
      <c r="W26" t="str">
        <f>IF(คะแนนเก็บหลังกลางภาค!E29="","",คะแนนเก็บหลังกลางภาค!E29)</f>
        <v/>
      </c>
      <c r="X26" t="str">
        <f>IF(คะแนนเก็บหลังกลางภาค!F29="","",คะแนนเก็บหลังกลางภาค!F29)</f>
        <v/>
      </c>
      <c r="Y26" t="str">
        <f>IF(คะแนนเก็บหลังกลางภาค!G29="","",คะแนนเก็บหลังกลางภาค!G29)</f>
        <v/>
      </c>
      <c r="Z26" t="str">
        <f>IF(คะแนนเก็บหลังกลางภาค!H29="","",คะแนนเก็บหลังกลางภาค!H29)</f>
        <v/>
      </c>
      <c r="AA26" t="str">
        <f>IF(คะแนนเก็บหลังกลางภาค!I29="","",คะแนนเก็บหลังกลางภาค!I29)</f>
        <v/>
      </c>
      <c r="AB26" t="str">
        <f>IF(คะแนนเก็บหลังกลางภาค!J29="","",คะแนนเก็บหลังกลางภาค!J29)</f>
        <v/>
      </c>
      <c r="AC26" t="str">
        <f>IF(คะแนนเก็บหลังกลางภาค!K29="","",คะแนนเก็บหลังกลางภาค!K29)</f>
        <v/>
      </c>
      <c r="AD26" t="str">
        <f>IF(คะแนนเก็บหลังกลางภาค!L29="","",คะแนนเก็บหลังกลางภาค!L29)</f>
        <v/>
      </c>
      <c r="AE26" t="str">
        <f>IF(คะแนนเก็บหลังกลางภาค!M29="","",คะแนนเก็บหลังกลางภาค!M29)</f>
        <v/>
      </c>
      <c r="AF26" t="str">
        <f>IF(คะแนนเก็บหลังกลางภาค!N29="","",คะแนนเก็บหลังกลางภาค!N29)</f>
        <v/>
      </c>
      <c r="AG26" t="str">
        <f>IF(คะแนนเก็บหลังกลางภาค!O29="","",คะแนนเก็บหลังกลางภาค!O29)</f>
        <v/>
      </c>
      <c r="AH26" t="str">
        <f>IF(คะแนนเก็บหลังกลางภาค!P29="","",คะแนนเก็บหลังกลางภาค!P29)</f>
        <v/>
      </c>
      <c r="AI26" t="str">
        <f>IF(คะแนนเก็บหลังกลางภาค!Q29="","",คะแนนเก็บหลังกลางภาค!Q29)</f>
        <v/>
      </c>
      <c r="AJ26" t="str">
        <f>IF(คะแนนเก็บหลังกลางภาค!R29="","",คะแนนเก็บหลังกลางภาค!R29)</f>
        <v/>
      </c>
      <c r="AK26" t="str">
        <f>IF(คะแนนเก็บหลังกลางภาค!S29="","",คะแนนเก็บหลังกลางภาค!S29)</f>
        <v/>
      </c>
      <c r="AL26" t="str">
        <f>IF(คะแนนเก็บหลังกลางภาค!T29="","",คะแนนเก็บหลังกลางภาค!T29)</f>
        <v/>
      </c>
      <c r="AM26" t="str">
        <f>IF(คะแนนเก็บหลังกลางภาค!U29="","",คะแนนเก็บหลังกลางภาค!U29)</f>
        <v/>
      </c>
      <c r="AN26" t="str">
        <f>IF(คะแนนเก็บหลังกลางภาค!V29="","",คะแนนเก็บหลังกลางภาค!V29)</f>
        <v/>
      </c>
      <c r="AO26" t="str">
        <f>IF(คะแนนเก็บหลังกลางภาค!W29="","",คะแนนเก็บหลังกลางภาค!W29)</f>
        <v/>
      </c>
      <c r="AP26" t="str">
        <f>IF(คุณลักษณะอันพึงประสงค์!D29="","",คุณลักษณะอันพึงประสงค์!D29)</f>
        <v/>
      </c>
      <c r="AQ26" t="str">
        <f>IF(คุณลักษณะอันพึงประสงค์!E29="","",คุณลักษณะอันพึงประสงค์!E29)</f>
        <v/>
      </c>
      <c r="AR26" t="str">
        <f>IF(คุณลักษณะอันพึงประสงค์!F29="","",คุณลักษณะอันพึงประสงค์!F29)</f>
        <v/>
      </c>
      <c r="AS26" t="str">
        <f>IF(คุณลักษณะอันพึงประสงค์!G29="","",คุณลักษณะอันพึงประสงค์!G29)</f>
        <v/>
      </c>
      <c r="AT26" t="str">
        <f>IF(คุณลักษณะอันพึงประสงค์!H29="","",คุณลักษณะอันพึงประสงค์!H29)</f>
        <v/>
      </c>
      <c r="AU26" t="str">
        <f>IF(คุณลักษณะอันพึงประสงค์!I29="","",คุณลักษณะอันพึงประสงค์!I29)</f>
        <v/>
      </c>
      <c r="AV26" t="str">
        <f>IF(คุณลักษณะอันพึงประสงค์!J29="","",คุณลักษณะอันพึงประสงค์!J29)</f>
        <v/>
      </c>
      <c r="AW26" t="str">
        <f>IF(คุณลักษณะอันพึงประสงค์!K29="","",คุณลักษณะอันพึงประสงค์!K29)</f>
        <v/>
      </c>
      <c r="AX26" t="str">
        <f>IF(คุณลักษณะอันพึงประสงค์!L29="","",คุณลักษณะอันพึงประสงค์!L29)</f>
        <v/>
      </c>
      <c r="AY26" t="str">
        <f>IF(คุณลักษณะอันพึงประสงค์!M29="","",คุณลักษณะอันพึงประสงค์!M29)</f>
        <v/>
      </c>
      <c r="AZ26" t="str">
        <f>IF(กลางภาค!D29="","",กลางภาค!D29)</f>
        <v/>
      </c>
      <c r="BA26" t="str">
        <f>IF(กลางภาค!E29="","",กลางภาค!E29)</f>
        <v/>
      </c>
      <c r="BB26" t="str">
        <f>IF(กลางภาค!F29="","",กลางภาค!F29)</f>
        <v/>
      </c>
      <c r="BC26" t="str">
        <f>IF(กลางภาค!G29="","",กลางภาค!G29)</f>
        <v/>
      </c>
      <c r="BD26" t="str">
        <f>IF(กลางภาค!H29="","",กลางภาค!H29)</f>
        <v/>
      </c>
      <c r="BE26" t="str">
        <f>IF(กลางภาค!I29="","",กลางภาค!I29)</f>
        <v/>
      </c>
      <c r="BF26" t="str">
        <f>IF(กลางภาค!J29="","",กลางภาค!J29)</f>
        <v/>
      </c>
      <c r="BG26" t="str">
        <f>IF(กลางภาค!K29="","",กลางภาค!K29)</f>
        <v/>
      </c>
      <c r="BH26" t="str">
        <f>IF(กลางภาค!L29="","",กลางภาค!L29)</f>
        <v/>
      </c>
      <c r="BI26" t="str">
        <f>IF(กลางภาค!M29="","",กลางภาค!M29)</f>
        <v/>
      </c>
      <c r="BJ26" t="str">
        <f>IF(ปลายภาค!D29="","",ปลายภาค!D29)</f>
        <v/>
      </c>
      <c r="BK26" t="str">
        <f>IF(ปลายภาค!E29="","",ปลายภาค!E29)</f>
        <v/>
      </c>
      <c r="BL26" t="str">
        <f>IF(ปลายภาค!F29="","",ปลายภาค!F29)</f>
        <v/>
      </c>
      <c r="BM26" t="str">
        <f>IF(ปลายภาค!G29="","",ปลายภาค!G29)</f>
        <v/>
      </c>
      <c r="BN26" t="str">
        <f>IF(ปลายภาค!H29="","",ปลายภาค!H29)</f>
        <v/>
      </c>
      <c r="BO26" t="str">
        <f>IF(ปลายภาค!I29="","",ปลายภาค!I29)</f>
        <v/>
      </c>
      <c r="BP26" t="str">
        <f>IF(ปลายภาค!J29="","",ปลายภาค!J29)</f>
        <v/>
      </c>
      <c r="BQ26" t="str">
        <f>IF(ปลายภาค!K29="","",ปลายภาค!K29)</f>
        <v/>
      </c>
      <c r="BR26" t="str">
        <f>IF(ปลายภาค!L29="","",ปลายภาค!L29)</f>
        <v/>
      </c>
      <c r="BS26" t="str">
        <f>IF(ปลายภาค!M29="","",ปลายภาค!M29)</f>
        <v/>
      </c>
      <c r="BT26" t="str">
        <f>IF(กลางภาค!N29="","",กลางภาค!N29)</f>
        <v/>
      </c>
      <c r="BU26" t="str">
        <f>IF(ปลายภาค!N29="","",ปลายภาค!N29)</f>
        <v/>
      </c>
      <c r="BV26" t="str">
        <f>IF(คุณลักษณะอันพึงประสงค์!X29="","",คุณลักษณะอันพึงประสงค์!X29)</f>
        <v/>
      </c>
      <c r="BW26" t="str">
        <f>IF(อ่านคิดวิเคราะห์!I29="","",อ่านคิดวิเคราะห์!I29)</f>
        <v/>
      </c>
      <c r="BX26" t="str">
        <f>IF(สมรรถนะ!N29="","",สมรรถนะ!N29)</f>
        <v/>
      </c>
      <c r="BY26" t="str">
        <f>IF(อ่านคิดวิเคราะห์!D29="","",อ่านคิดวิเคราะห์!D29)</f>
        <v/>
      </c>
      <c r="BZ26" t="str">
        <f>IF(อ่านคิดวิเคราะห์!E29="","",อ่านคิดวิเคราะห์!E29)</f>
        <v/>
      </c>
      <c r="CA26" t="str">
        <f>IF(อ่านคิดวิเคราะห์!F29="","",อ่านคิดวิเคราะห์!F29)</f>
        <v/>
      </c>
      <c r="CB26" t="str">
        <f>IF(อ่านคิดวิเคราะห์!G29="","",อ่านคิดวิเคราะห์!G29)</f>
        <v/>
      </c>
      <c r="CC26" t="str">
        <f>IF(อ่านคิดวิเคราะห์!H29="","",อ่านคิดวิเคราะห์!H29)</f>
        <v/>
      </c>
      <c r="CD26" t="str">
        <f>IF(สมรรถนะ!D29="","",สมรรถนะ!D29)</f>
        <v/>
      </c>
      <c r="CE26" t="str">
        <f>IF(สมรรถนะ!E29="","",สมรรถนะ!E29)</f>
        <v/>
      </c>
      <c r="CF26" t="str">
        <f>IF(สมรรถนะ!F29="","",สมรรถนะ!F29)</f>
        <v/>
      </c>
      <c r="CG26" t="str">
        <f>IF(สมรรถนะ!G29="","",สมรรถนะ!G29)</f>
        <v/>
      </c>
      <c r="CH26" t="str">
        <f>IF(สมรรถนะ!H29="","",สมรรถนะ!H29)</f>
        <v/>
      </c>
      <c r="CI26" t="str">
        <f>IF(สมรรถนะ!I29="","",สมรรถนะ!I29)</f>
        <v/>
      </c>
      <c r="CJ26" t="str">
        <f>IF(สมรรถนะ!J29="","",สมรรถนะ!J29)</f>
        <v/>
      </c>
      <c r="CK26" t="str">
        <f>IF(สมรรถนะ!K29="","",สมรรถนะ!K29)</f>
        <v/>
      </c>
      <c r="CL26" t="str">
        <f>IF(สมรรถนะ!L29="","",สมรรถนะ!L29)</f>
        <v/>
      </c>
      <c r="CM26" t="str">
        <f>IF(สมรรถนะ!M29="","",สมรรถนะ!M29)</f>
        <v/>
      </c>
      <c r="CN26" t="str">
        <f>IF(คุณลักษณะอันพึงประสงค์!N29="","",คุณลักษณะอันพึงประสงค์!N29)</f>
        <v/>
      </c>
      <c r="CO26" t="str">
        <f>IF(คุณลักษณะอันพึงประสงค์!O29="","",คุณลักษณะอันพึงประสงค์!O29)</f>
        <v/>
      </c>
      <c r="CP26" t="str">
        <f>IF(คุณลักษณะอันพึงประสงค์!P29="","",คุณลักษณะอันพึงประสงค์!P29)</f>
        <v/>
      </c>
      <c r="CQ26" t="str">
        <f>IF(คุณลักษณะอันพึงประสงค์!Q29="","",คุณลักษณะอันพึงประสงค์!Q29)</f>
        <v/>
      </c>
      <c r="CR26" t="str">
        <f>IF(คุณลักษณะอันพึงประสงค์!R29="","",คุณลักษณะอันพึงประสงค์!R29)</f>
        <v/>
      </c>
      <c r="CS26" t="str">
        <f>IF(คุณลักษณะอันพึงประสงค์!S29="","",คุณลักษณะอันพึงประสงค์!S29)</f>
        <v/>
      </c>
      <c r="CT26" t="str">
        <f>IF(คุณลักษณะอันพึงประสงค์!T29="","",คุณลักษณะอันพึงประสงค์!T29)</f>
        <v/>
      </c>
      <c r="CU26" t="str">
        <f>IF(คุณลักษณะอันพึงประสงค์!U29="","",คุณลักษณะอันพึงประสงค์!U29)</f>
        <v/>
      </c>
      <c r="CV26" t="str">
        <f>IF(คุณลักษณะอันพึงประสงค์!V29="","",คุณลักษณะอันพึงประสงค์!V29)</f>
        <v/>
      </c>
      <c r="CW26" t="str">
        <f>IF(คุณลักษณะอันพึงประสงค์!W29="","",คุณลักษณะอันพึงประสงค์!W29)</f>
        <v/>
      </c>
    </row>
    <row r="27" spans="1:101">
      <c r="A27" t="str">
        <f>IF(คะแนนเก็บ!B30="","",คะแนนเก็บ!B30)</f>
        <v/>
      </c>
      <c r="B27" t="str">
        <f>IF(คะแนนเก็บ!D30="","",คะแนนเก็บ!D30)</f>
        <v/>
      </c>
      <c r="C27" t="str">
        <f>IF(คะแนนเก็บ!E30="","",คะแนนเก็บ!E30)</f>
        <v/>
      </c>
      <c r="D27" t="str">
        <f>IF(คะแนนเก็บ!F30="","",คะแนนเก็บ!F30)</f>
        <v/>
      </c>
      <c r="E27" t="str">
        <f>IF(คะแนนเก็บ!G30="","",คะแนนเก็บ!G30)</f>
        <v/>
      </c>
      <c r="F27" t="str">
        <f>IF(คะแนนเก็บ!H30="","",คะแนนเก็บ!H30)</f>
        <v/>
      </c>
      <c r="G27" t="str">
        <f>IF(คะแนนเก็บ!I30="","",คะแนนเก็บ!I30)</f>
        <v/>
      </c>
      <c r="H27" t="str">
        <f>IF(คะแนนเก็บ!J30="","",คะแนนเก็บ!J30)</f>
        <v/>
      </c>
      <c r="I27" t="str">
        <f>IF(คะแนนเก็บ!K30="","",คะแนนเก็บ!K30)</f>
        <v/>
      </c>
      <c r="J27" t="str">
        <f>IF(คะแนนเก็บ!L30="","",คะแนนเก็บ!L30)</f>
        <v/>
      </c>
      <c r="K27" t="str">
        <f>IF(คะแนนเก็บ!M30="","",คะแนนเก็บ!M30)</f>
        <v/>
      </c>
      <c r="L27" t="str">
        <f>IF(คะแนนเก็บ!N30="","",คะแนนเก็บ!N30)</f>
        <v/>
      </c>
      <c r="M27" t="str">
        <f>IF(คะแนนเก็บ!O30="","",คะแนนเก็บ!O30)</f>
        <v/>
      </c>
      <c r="N27" t="str">
        <f>IF(คะแนนเก็บ!P30="","",คะแนนเก็บ!P30)</f>
        <v/>
      </c>
      <c r="O27" t="str">
        <f>IF(คะแนนเก็บ!Q30="","",คะแนนเก็บ!Q30)</f>
        <v/>
      </c>
      <c r="P27" t="str">
        <f>IF(คะแนนเก็บ!R30="","",คะแนนเก็บ!R30)</f>
        <v/>
      </c>
      <c r="Q27" t="str">
        <f>IF(คะแนนเก็บ!S30="","",คะแนนเก็บ!S30)</f>
        <v/>
      </c>
      <c r="R27" t="str">
        <f>IF(คะแนนเก็บ!T30="","",คะแนนเก็บ!T30)</f>
        <v/>
      </c>
      <c r="S27" t="str">
        <f>IF(คะแนนเก็บ!U30="","",คะแนนเก็บ!U30)</f>
        <v/>
      </c>
      <c r="T27" t="str">
        <f>IF(คะแนนเก็บ!V30="","",คะแนนเก็บ!V30)</f>
        <v/>
      </c>
      <c r="U27" t="str">
        <f>IF(คะแนนเก็บ!W30="","",คะแนนเก็บ!W30)</f>
        <v/>
      </c>
      <c r="V27" t="str">
        <f>IF(คะแนนเก็บหลังกลางภาค!D30="","",คะแนนเก็บหลังกลางภาค!D30)</f>
        <v/>
      </c>
      <c r="W27" t="str">
        <f>IF(คะแนนเก็บหลังกลางภาค!E30="","",คะแนนเก็บหลังกลางภาค!E30)</f>
        <v/>
      </c>
      <c r="X27" t="str">
        <f>IF(คะแนนเก็บหลังกลางภาค!F30="","",คะแนนเก็บหลังกลางภาค!F30)</f>
        <v/>
      </c>
      <c r="Y27" t="str">
        <f>IF(คะแนนเก็บหลังกลางภาค!G30="","",คะแนนเก็บหลังกลางภาค!G30)</f>
        <v/>
      </c>
      <c r="Z27" t="str">
        <f>IF(คะแนนเก็บหลังกลางภาค!H30="","",คะแนนเก็บหลังกลางภาค!H30)</f>
        <v/>
      </c>
      <c r="AA27" t="str">
        <f>IF(คะแนนเก็บหลังกลางภาค!I30="","",คะแนนเก็บหลังกลางภาค!I30)</f>
        <v/>
      </c>
      <c r="AB27" t="str">
        <f>IF(คะแนนเก็บหลังกลางภาค!J30="","",คะแนนเก็บหลังกลางภาค!J30)</f>
        <v/>
      </c>
      <c r="AC27" t="str">
        <f>IF(คะแนนเก็บหลังกลางภาค!K30="","",คะแนนเก็บหลังกลางภาค!K30)</f>
        <v/>
      </c>
      <c r="AD27" t="str">
        <f>IF(คะแนนเก็บหลังกลางภาค!L30="","",คะแนนเก็บหลังกลางภาค!L30)</f>
        <v/>
      </c>
      <c r="AE27" t="str">
        <f>IF(คะแนนเก็บหลังกลางภาค!M30="","",คะแนนเก็บหลังกลางภาค!M30)</f>
        <v/>
      </c>
      <c r="AF27" t="str">
        <f>IF(คะแนนเก็บหลังกลางภาค!N30="","",คะแนนเก็บหลังกลางภาค!N30)</f>
        <v/>
      </c>
      <c r="AG27" t="str">
        <f>IF(คะแนนเก็บหลังกลางภาค!O30="","",คะแนนเก็บหลังกลางภาค!O30)</f>
        <v/>
      </c>
      <c r="AH27" t="str">
        <f>IF(คะแนนเก็บหลังกลางภาค!P30="","",คะแนนเก็บหลังกลางภาค!P30)</f>
        <v/>
      </c>
      <c r="AI27" t="str">
        <f>IF(คะแนนเก็บหลังกลางภาค!Q30="","",คะแนนเก็บหลังกลางภาค!Q30)</f>
        <v/>
      </c>
      <c r="AJ27" t="str">
        <f>IF(คะแนนเก็บหลังกลางภาค!R30="","",คะแนนเก็บหลังกลางภาค!R30)</f>
        <v/>
      </c>
      <c r="AK27" t="str">
        <f>IF(คะแนนเก็บหลังกลางภาค!S30="","",คะแนนเก็บหลังกลางภาค!S30)</f>
        <v/>
      </c>
      <c r="AL27" t="str">
        <f>IF(คะแนนเก็บหลังกลางภาค!T30="","",คะแนนเก็บหลังกลางภาค!T30)</f>
        <v/>
      </c>
      <c r="AM27" t="str">
        <f>IF(คะแนนเก็บหลังกลางภาค!U30="","",คะแนนเก็บหลังกลางภาค!U30)</f>
        <v/>
      </c>
      <c r="AN27" t="str">
        <f>IF(คะแนนเก็บหลังกลางภาค!V30="","",คะแนนเก็บหลังกลางภาค!V30)</f>
        <v/>
      </c>
      <c r="AO27" t="str">
        <f>IF(คะแนนเก็บหลังกลางภาค!W30="","",คะแนนเก็บหลังกลางภาค!W30)</f>
        <v/>
      </c>
      <c r="AP27" t="str">
        <f>IF(คุณลักษณะอันพึงประสงค์!D30="","",คุณลักษณะอันพึงประสงค์!D30)</f>
        <v/>
      </c>
      <c r="AQ27" t="str">
        <f>IF(คุณลักษณะอันพึงประสงค์!E30="","",คุณลักษณะอันพึงประสงค์!E30)</f>
        <v/>
      </c>
      <c r="AR27" t="str">
        <f>IF(คุณลักษณะอันพึงประสงค์!F30="","",คุณลักษณะอันพึงประสงค์!F30)</f>
        <v/>
      </c>
      <c r="AS27" t="str">
        <f>IF(คุณลักษณะอันพึงประสงค์!G30="","",คุณลักษณะอันพึงประสงค์!G30)</f>
        <v/>
      </c>
      <c r="AT27" t="str">
        <f>IF(คุณลักษณะอันพึงประสงค์!H30="","",คุณลักษณะอันพึงประสงค์!H30)</f>
        <v/>
      </c>
      <c r="AU27" t="str">
        <f>IF(คุณลักษณะอันพึงประสงค์!I30="","",คุณลักษณะอันพึงประสงค์!I30)</f>
        <v/>
      </c>
      <c r="AV27" t="str">
        <f>IF(คุณลักษณะอันพึงประสงค์!J30="","",คุณลักษณะอันพึงประสงค์!J30)</f>
        <v/>
      </c>
      <c r="AW27" t="str">
        <f>IF(คุณลักษณะอันพึงประสงค์!K30="","",คุณลักษณะอันพึงประสงค์!K30)</f>
        <v/>
      </c>
      <c r="AX27" t="str">
        <f>IF(คุณลักษณะอันพึงประสงค์!L30="","",คุณลักษณะอันพึงประสงค์!L30)</f>
        <v/>
      </c>
      <c r="AY27" t="str">
        <f>IF(คุณลักษณะอันพึงประสงค์!M30="","",คุณลักษณะอันพึงประสงค์!M30)</f>
        <v/>
      </c>
      <c r="AZ27" t="str">
        <f>IF(กลางภาค!D30="","",กลางภาค!D30)</f>
        <v/>
      </c>
      <c r="BA27" t="str">
        <f>IF(กลางภาค!E30="","",กลางภาค!E30)</f>
        <v/>
      </c>
      <c r="BB27" t="str">
        <f>IF(กลางภาค!F30="","",กลางภาค!F30)</f>
        <v/>
      </c>
      <c r="BC27" t="str">
        <f>IF(กลางภาค!G30="","",กลางภาค!G30)</f>
        <v/>
      </c>
      <c r="BD27" t="str">
        <f>IF(กลางภาค!H30="","",กลางภาค!H30)</f>
        <v/>
      </c>
      <c r="BE27" t="str">
        <f>IF(กลางภาค!I30="","",กลางภาค!I30)</f>
        <v/>
      </c>
      <c r="BF27" t="str">
        <f>IF(กลางภาค!J30="","",กลางภาค!J30)</f>
        <v/>
      </c>
      <c r="BG27" t="str">
        <f>IF(กลางภาค!K30="","",กลางภาค!K30)</f>
        <v/>
      </c>
      <c r="BH27" t="str">
        <f>IF(กลางภาค!L30="","",กลางภาค!L30)</f>
        <v/>
      </c>
      <c r="BI27" t="str">
        <f>IF(กลางภาค!M30="","",กลางภาค!M30)</f>
        <v/>
      </c>
      <c r="BJ27" t="str">
        <f>IF(ปลายภาค!D30="","",ปลายภาค!D30)</f>
        <v/>
      </c>
      <c r="BK27" t="str">
        <f>IF(ปลายภาค!E30="","",ปลายภาค!E30)</f>
        <v/>
      </c>
      <c r="BL27" t="str">
        <f>IF(ปลายภาค!F30="","",ปลายภาค!F30)</f>
        <v/>
      </c>
      <c r="BM27" t="str">
        <f>IF(ปลายภาค!G30="","",ปลายภาค!G30)</f>
        <v/>
      </c>
      <c r="BN27" t="str">
        <f>IF(ปลายภาค!H30="","",ปลายภาค!H30)</f>
        <v/>
      </c>
      <c r="BO27" t="str">
        <f>IF(ปลายภาค!I30="","",ปลายภาค!I30)</f>
        <v/>
      </c>
      <c r="BP27" t="str">
        <f>IF(ปลายภาค!J30="","",ปลายภาค!J30)</f>
        <v/>
      </c>
      <c r="BQ27" t="str">
        <f>IF(ปลายภาค!K30="","",ปลายภาค!K30)</f>
        <v/>
      </c>
      <c r="BR27" t="str">
        <f>IF(ปลายภาค!L30="","",ปลายภาค!L30)</f>
        <v/>
      </c>
      <c r="BS27" t="str">
        <f>IF(ปลายภาค!M30="","",ปลายภาค!M30)</f>
        <v/>
      </c>
      <c r="BT27" t="str">
        <f>IF(กลางภาค!N30="","",กลางภาค!N30)</f>
        <v/>
      </c>
      <c r="BU27" t="str">
        <f>IF(ปลายภาค!N30="","",ปลายภาค!N30)</f>
        <v/>
      </c>
      <c r="BV27" t="str">
        <f>IF(คุณลักษณะอันพึงประสงค์!X30="","",คุณลักษณะอันพึงประสงค์!X30)</f>
        <v/>
      </c>
      <c r="BW27" t="str">
        <f>IF(อ่านคิดวิเคราะห์!I30="","",อ่านคิดวิเคราะห์!I30)</f>
        <v/>
      </c>
      <c r="BX27" t="str">
        <f>IF(สมรรถนะ!N30="","",สมรรถนะ!N30)</f>
        <v/>
      </c>
      <c r="BY27" t="str">
        <f>IF(อ่านคิดวิเคราะห์!D30="","",อ่านคิดวิเคราะห์!D30)</f>
        <v/>
      </c>
      <c r="BZ27" t="str">
        <f>IF(อ่านคิดวิเคราะห์!E30="","",อ่านคิดวิเคราะห์!E30)</f>
        <v/>
      </c>
      <c r="CA27" t="str">
        <f>IF(อ่านคิดวิเคราะห์!F30="","",อ่านคิดวิเคราะห์!F30)</f>
        <v/>
      </c>
      <c r="CB27" t="str">
        <f>IF(อ่านคิดวิเคราะห์!G30="","",อ่านคิดวิเคราะห์!G30)</f>
        <v/>
      </c>
      <c r="CC27" t="str">
        <f>IF(อ่านคิดวิเคราะห์!H30="","",อ่านคิดวิเคราะห์!H30)</f>
        <v/>
      </c>
      <c r="CD27" t="str">
        <f>IF(สมรรถนะ!D30="","",สมรรถนะ!D30)</f>
        <v/>
      </c>
      <c r="CE27" t="str">
        <f>IF(สมรรถนะ!E30="","",สมรรถนะ!E30)</f>
        <v/>
      </c>
      <c r="CF27" t="str">
        <f>IF(สมรรถนะ!F30="","",สมรรถนะ!F30)</f>
        <v/>
      </c>
      <c r="CG27" t="str">
        <f>IF(สมรรถนะ!G30="","",สมรรถนะ!G30)</f>
        <v/>
      </c>
      <c r="CH27" t="str">
        <f>IF(สมรรถนะ!H30="","",สมรรถนะ!H30)</f>
        <v/>
      </c>
      <c r="CI27" t="str">
        <f>IF(สมรรถนะ!I30="","",สมรรถนะ!I30)</f>
        <v/>
      </c>
      <c r="CJ27" t="str">
        <f>IF(สมรรถนะ!J30="","",สมรรถนะ!J30)</f>
        <v/>
      </c>
      <c r="CK27" t="str">
        <f>IF(สมรรถนะ!K30="","",สมรรถนะ!K30)</f>
        <v/>
      </c>
      <c r="CL27" t="str">
        <f>IF(สมรรถนะ!L30="","",สมรรถนะ!L30)</f>
        <v/>
      </c>
      <c r="CM27" t="str">
        <f>IF(สมรรถนะ!M30="","",สมรรถนะ!M30)</f>
        <v/>
      </c>
      <c r="CN27" t="str">
        <f>IF(คุณลักษณะอันพึงประสงค์!N30="","",คุณลักษณะอันพึงประสงค์!N30)</f>
        <v/>
      </c>
      <c r="CO27" t="str">
        <f>IF(คุณลักษณะอันพึงประสงค์!O30="","",คุณลักษณะอันพึงประสงค์!O30)</f>
        <v/>
      </c>
      <c r="CP27" t="str">
        <f>IF(คุณลักษณะอันพึงประสงค์!P30="","",คุณลักษณะอันพึงประสงค์!P30)</f>
        <v/>
      </c>
      <c r="CQ27" t="str">
        <f>IF(คุณลักษณะอันพึงประสงค์!Q30="","",คุณลักษณะอันพึงประสงค์!Q30)</f>
        <v/>
      </c>
      <c r="CR27" t="str">
        <f>IF(คุณลักษณะอันพึงประสงค์!R30="","",คุณลักษณะอันพึงประสงค์!R30)</f>
        <v/>
      </c>
      <c r="CS27" t="str">
        <f>IF(คุณลักษณะอันพึงประสงค์!S30="","",คุณลักษณะอันพึงประสงค์!S30)</f>
        <v/>
      </c>
      <c r="CT27" t="str">
        <f>IF(คุณลักษณะอันพึงประสงค์!T30="","",คุณลักษณะอันพึงประสงค์!T30)</f>
        <v/>
      </c>
      <c r="CU27" t="str">
        <f>IF(คุณลักษณะอันพึงประสงค์!U30="","",คุณลักษณะอันพึงประสงค์!U30)</f>
        <v/>
      </c>
      <c r="CV27" t="str">
        <f>IF(คุณลักษณะอันพึงประสงค์!V30="","",คุณลักษณะอันพึงประสงค์!V30)</f>
        <v/>
      </c>
      <c r="CW27" t="str">
        <f>IF(คุณลักษณะอันพึงประสงค์!W30="","",คุณลักษณะอันพึงประสงค์!W30)</f>
        <v/>
      </c>
    </row>
    <row r="28" spans="1:101">
      <c r="A28" t="str">
        <f>IF(คะแนนเก็บ!B31="","",คะแนนเก็บ!B31)</f>
        <v/>
      </c>
      <c r="B28" t="str">
        <f>IF(คะแนนเก็บ!D31="","",คะแนนเก็บ!D31)</f>
        <v/>
      </c>
      <c r="C28" t="str">
        <f>IF(คะแนนเก็บ!E31="","",คะแนนเก็บ!E31)</f>
        <v/>
      </c>
      <c r="D28" t="str">
        <f>IF(คะแนนเก็บ!F31="","",คะแนนเก็บ!F31)</f>
        <v/>
      </c>
      <c r="E28" t="str">
        <f>IF(คะแนนเก็บ!G31="","",คะแนนเก็บ!G31)</f>
        <v/>
      </c>
      <c r="F28" t="str">
        <f>IF(คะแนนเก็บ!H31="","",คะแนนเก็บ!H31)</f>
        <v/>
      </c>
      <c r="G28" t="str">
        <f>IF(คะแนนเก็บ!I31="","",คะแนนเก็บ!I31)</f>
        <v/>
      </c>
      <c r="H28" t="str">
        <f>IF(คะแนนเก็บ!J31="","",คะแนนเก็บ!J31)</f>
        <v/>
      </c>
      <c r="I28" t="str">
        <f>IF(คะแนนเก็บ!K31="","",คะแนนเก็บ!K31)</f>
        <v/>
      </c>
      <c r="J28" t="str">
        <f>IF(คะแนนเก็บ!L31="","",คะแนนเก็บ!L31)</f>
        <v/>
      </c>
      <c r="K28" t="str">
        <f>IF(คะแนนเก็บ!M31="","",คะแนนเก็บ!M31)</f>
        <v/>
      </c>
      <c r="L28" t="str">
        <f>IF(คะแนนเก็บ!N31="","",คะแนนเก็บ!N31)</f>
        <v/>
      </c>
      <c r="M28" t="str">
        <f>IF(คะแนนเก็บ!O31="","",คะแนนเก็บ!O31)</f>
        <v/>
      </c>
      <c r="N28" t="str">
        <f>IF(คะแนนเก็บ!P31="","",คะแนนเก็บ!P31)</f>
        <v/>
      </c>
      <c r="O28" t="str">
        <f>IF(คะแนนเก็บ!Q31="","",คะแนนเก็บ!Q31)</f>
        <v/>
      </c>
      <c r="P28" t="str">
        <f>IF(คะแนนเก็บ!R31="","",คะแนนเก็บ!R31)</f>
        <v/>
      </c>
      <c r="Q28" t="str">
        <f>IF(คะแนนเก็บ!S31="","",คะแนนเก็บ!S31)</f>
        <v/>
      </c>
      <c r="R28" t="str">
        <f>IF(คะแนนเก็บ!T31="","",คะแนนเก็บ!T31)</f>
        <v/>
      </c>
      <c r="S28" t="str">
        <f>IF(คะแนนเก็บ!U31="","",คะแนนเก็บ!U31)</f>
        <v/>
      </c>
      <c r="T28" t="str">
        <f>IF(คะแนนเก็บ!V31="","",คะแนนเก็บ!V31)</f>
        <v/>
      </c>
      <c r="U28" t="str">
        <f>IF(คะแนนเก็บ!W31="","",คะแนนเก็บ!W31)</f>
        <v/>
      </c>
      <c r="V28" t="str">
        <f>IF(คะแนนเก็บหลังกลางภาค!D31="","",คะแนนเก็บหลังกลางภาค!D31)</f>
        <v/>
      </c>
      <c r="W28" t="str">
        <f>IF(คะแนนเก็บหลังกลางภาค!E31="","",คะแนนเก็บหลังกลางภาค!E31)</f>
        <v/>
      </c>
      <c r="X28" t="str">
        <f>IF(คะแนนเก็บหลังกลางภาค!F31="","",คะแนนเก็บหลังกลางภาค!F31)</f>
        <v/>
      </c>
      <c r="Y28" t="str">
        <f>IF(คะแนนเก็บหลังกลางภาค!G31="","",คะแนนเก็บหลังกลางภาค!G31)</f>
        <v/>
      </c>
      <c r="Z28" t="str">
        <f>IF(คะแนนเก็บหลังกลางภาค!H31="","",คะแนนเก็บหลังกลางภาค!H31)</f>
        <v/>
      </c>
      <c r="AA28" t="str">
        <f>IF(คะแนนเก็บหลังกลางภาค!I31="","",คะแนนเก็บหลังกลางภาค!I31)</f>
        <v/>
      </c>
      <c r="AB28" t="str">
        <f>IF(คะแนนเก็บหลังกลางภาค!J31="","",คะแนนเก็บหลังกลางภาค!J31)</f>
        <v/>
      </c>
      <c r="AC28" t="str">
        <f>IF(คะแนนเก็บหลังกลางภาค!K31="","",คะแนนเก็บหลังกลางภาค!K31)</f>
        <v/>
      </c>
      <c r="AD28" t="str">
        <f>IF(คะแนนเก็บหลังกลางภาค!L31="","",คะแนนเก็บหลังกลางภาค!L31)</f>
        <v/>
      </c>
      <c r="AE28" t="str">
        <f>IF(คะแนนเก็บหลังกลางภาค!M31="","",คะแนนเก็บหลังกลางภาค!M31)</f>
        <v/>
      </c>
      <c r="AF28" t="str">
        <f>IF(คะแนนเก็บหลังกลางภาค!N31="","",คะแนนเก็บหลังกลางภาค!N31)</f>
        <v/>
      </c>
      <c r="AG28" t="str">
        <f>IF(คะแนนเก็บหลังกลางภาค!O31="","",คะแนนเก็บหลังกลางภาค!O31)</f>
        <v/>
      </c>
      <c r="AH28" t="str">
        <f>IF(คะแนนเก็บหลังกลางภาค!P31="","",คะแนนเก็บหลังกลางภาค!P31)</f>
        <v/>
      </c>
      <c r="AI28" t="str">
        <f>IF(คะแนนเก็บหลังกลางภาค!Q31="","",คะแนนเก็บหลังกลางภาค!Q31)</f>
        <v/>
      </c>
      <c r="AJ28" t="str">
        <f>IF(คะแนนเก็บหลังกลางภาค!R31="","",คะแนนเก็บหลังกลางภาค!R31)</f>
        <v/>
      </c>
      <c r="AK28" t="str">
        <f>IF(คะแนนเก็บหลังกลางภาค!S31="","",คะแนนเก็บหลังกลางภาค!S31)</f>
        <v/>
      </c>
      <c r="AL28" t="str">
        <f>IF(คะแนนเก็บหลังกลางภาค!T31="","",คะแนนเก็บหลังกลางภาค!T31)</f>
        <v/>
      </c>
      <c r="AM28" t="str">
        <f>IF(คะแนนเก็บหลังกลางภาค!U31="","",คะแนนเก็บหลังกลางภาค!U31)</f>
        <v/>
      </c>
      <c r="AN28" t="str">
        <f>IF(คะแนนเก็บหลังกลางภาค!V31="","",คะแนนเก็บหลังกลางภาค!V31)</f>
        <v/>
      </c>
      <c r="AO28" t="str">
        <f>IF(คะแนนเก็บหลังกลางภาค!W31="","",คะแนนเก็บหลังกลางภาค!W31)</f>
        <v/>
      </c>
      <c r="AP28" t="str">
        <f>IF(คุณลักษณะอันพึงประสงค์!D31="","",คุณลักษณะอันพึงประสงค์!D31)</f>
        <v/>
      </c>
      <c r="AQ28" t="str">
        <f>IF(คุณลักษณะอันพึงประสงค์!E31="","",คุณลักษณะอันพึงประสงค์!E31)</f>
        <v/>
      </c>
      <c r="AR28" t="str">
        <f>IF(คุณลักษณะอันพึงประสงค์!F31="","",คุณลักษณะอันพึงประสงค์!F31)</f>
        <v/>
      </c>
      <c r="AS28" t="str">
        <f>IF(คุณลักษณะอันพึงประสงค์!G31="","",คุณลักษณะอันพึงประสงค์!G31)</f>
        <v/>
      </c>
      <c r="AT28" t="str">
        <f>IF(คุณลักษณะอันพึงประสงค์!H31="","",คุณลักษณะอันพึงประสงค์!H31)</f>
        <v/>
      </c>
      <c r="AU28" t="str">
        <f>IF(คุณลักษณะอันพึงประสงค์!I31="","",คุณลักษณะอันพึงประสงค์!I31)</f>
        <v/>
      </c>
      <c r="AV28" t="str">
        <f>IF(คุณลักษณะอันพึงประสงค์!J31="","",คุณลักษณะอันพึงประสงค์!J31)</f>
        <v/>
      </c>
      <c r="AW28" t="str">
        <f>IF(คุณลักษณะอันพึงประสงค์!K31="","",คุณลักษณะอันพึงประสงค์!K31)</f>
        <v/>
      </c>
      <c r="AX28" t="str">
        <f>IF(คุณลักษณะอันพึงประสงค์!L31="","",คุณลักษณะอันพึงประสงค์!L31)</f>
        <v/>
      </c>
      <c r="AY28" t="str">
        <f>IF(คุณลักษณะอันพึงประสงค์!M31="","",คุณลักษณะอันพึงประสงค์!M31)</f>
        <v/>
      </c>
      <c r="AZ28" t="str">
        <f>IF(กลางภาค!D31="","",กลางภาค!D31)</f>
        <v/>
      </c>
      <c r="BA28" t="str">
        <f>IF(กลางภาค!E31="","",กลางภาค!E31)</f>
        <v/>
      </c>
      <c r="BB28" t="str">
        <f>IF(กลางภาค!F31="","",กลางภาค!F31)</f>
        <v/>
      </c>
      <c r="BC28" t="str">
        <f>IF(กลางภาค!G31="","",กลางภาค!G31)</f>
        <v/>
      </c>
      <c r="BD28" t="str">
        <f>IF(กลางภาค!H31="","",กลางภาค!H31)</f>
        <v/>
      </c>
      <c r="BE28" t="str">
        <f>IF(กลางภาค!I31="","",กลางภาค!I31)</f>
        <v/>
      </c>
      <c r="BF28" t="str">
        <f>IF(กลางภาค!J31="","",กลางภาค!J31)</f>
        <v/>
      </c>
      <c r="BG28" t="str">
        <f>IF(กลางภาค!K31="","",กลางภาค!K31)</f>
        <v/>
      </c>
      <c r="BH28" t="str">
        <f>IF(กลางภาค!L31="","",กลางภาค!L31)</f>
        <v/>
      </c>
      <c r="BI28" t="str">
        <f>IF(กลางภาค!M31="","",กลางภาค!M31)</f>
        <v/>
      </c>
      <c r="BJ28" t="str">
        <f>IF(ปลายภาค!D31="","",ปลายภาค!D31)</f>
        <v/>
      </c>
      <c r="BK28" t="str">
        <f>IF(ปลายภาค!E31="","",ปลายภาค!E31)</f>
        <v/>
      </c>
      <c r="BL28" t="str">
        <f>IF(ปลายภาค!F31="","",ปลายภาค!F31)</f>
        <v/>
      </c>
      <c r="BM28" t="str">
        <f>IF(ปลายภาค!G31="","",ปลายภาค!G31)</f>
        <v/>
      </c>
      <c r="BN28" t="str">
        <f>IF(ปลายภาค!H31="","",ปลายภาค!H31)</f>
        <v/>
      </c>
      <c r="BO28" t="str">
        <f>IF(ปลายภาค!I31="","",ปลายภาค!I31)</f>
        <v/>
      </c>
      <c r="BP28" t="str">
        <f>IF(ปลายภาค!J31="","",ปลายภาค!J31)</f>
        <v/>
      </c>
      <c r="BQ28" t="str">
        <f>IF(ปลายภาค!K31="","",ปลายภาค!K31)</f>
        <v/>
      </c>
      <c r="BR28" t="str">
        <f>IF(ปลายภาค!L31="","",ปลายภาค!L31)</f>
        <v/>
      </c>
      <c r="BS28" t="str">
        <f>IF(ปลายภาค!M31="","",ปลายภาค!M31)</f>
        <v/>
      </c>
      <c r="BT28" t="str">
        <f>IF(กลางภาค!N31="","",กลางภาค!N31)</f>
        <v/>
      </c>
      <c r="BU28" t="str">
        <f>IF(ปลายภาค!N31="","",ปลายภาค!N31)</f>
        <v/>
      </c>
      <c r="BV28" t="str">
        <f>IF(คุณลักษณะอันพึงประสงค์!X31="","",คุณลักษณะอันพึงประสงค์!X31)</f>
        <v/>
      </c>
      <c r="BW28" t="str">
        <f>IF(อ่านคิดวิเคราะห์!I31="","",อ่านคิดวิเคราะห์!I31)</f>
        <v/>
      </c>
      <c r="BX28" t="str">
        <f>IF(สมรรถนะ!N31="","",สมรรถนะ!N31)</f>
        <v/>
      </c>
      <c r="BY28" t="str">
        <f>IF(อ่านคิดวิเคราะห์!D31="","",อ่านคิดวิเคราะห์!D31)</f>
        <v/>
      </c>
      <c r="BZ28" t="str">
        <f>IF(อ่านคิดวิเคราะห์!E31="","",อ่านคิดวิเคราะห์!E31)</f>
        <v/>
      </c>
      <c r="CA28" t="str">
        <f>IF(อ่านคิดวิเคราะห์!F31="","",อ่านคิดวิเคราะห์!F31)</f>
        <v/>
      </c>
      <c r="CB28" t="str">
        <f>IF(อ่านคิดวิเคราะห์!G31="","",อ่านคิดวิเคราะห์!G31)</f>
        <v/>
      </c>
      <c r="CC28" t="str">
        <f>IF(อ่านคิดวิเคราะห์!H31="","",อ่านคิดวิเคราะห์!H31)</f>
        <v/>
      </c>
      <c r="CD28" t="str">
        <f>IF(สมรรถนะ!D31="","",สมรรถนะ!D31)</f>
        <v/>
      </c>
      <c r="CE28" t="str">
        <f>IF(สมรรถนะ!E31="","",สมรรถนะ!E31)</f>
        <v/>
      </c>
      <c r="CF28" t="str">
        <f>IF(สมรรถนะ!F31="","",สมรรถนะ!F31)</f>
        <v/>
      </c>
      <c r="CG28" t="str">
        <f>IF(สมรรถนะ!G31="","",สมรรถนะ!G31)</f>
        <v/>
      </c>
      <c r="CH28" t="str">
        <f>IF(สมรรถนะ!H31="","",สมรรถนะ!H31)</f>
        <v/>
      </c>
      <c r="CI28" t="str">
        <f>IF(สมรรถนะ!I31="","",สมรรถนะ!I31)</f>
        <v/>
      </c>
      <c r="CJ28" t="str">
        <f>IF(สมรรถนะ!J31="","",สมรรถนะ!J31)</f>
        <v/>
      </c>
      <c r="CK28" t="str">
        <f>IF(สมรรถนะ!K31="","",สมรรถนะ!K31)</f>
        <v/>
      </c>
      <c r="CL28" t="str">
        <f>IF(สมรรถนะ!L31="","",สมรรถนะ!L31)</f>
        <v/>
      </c>
      <c r="CM28" t="str">
        <f>IF(สมรรถนะ!M31="","",สมรรถนะ!M31)</f>
        <v/>
      </c>
      <c r="CN28" t="str">
        <f>IF(คุณลักษณะอันพึงประสงค์!N31="","",คุณลักษณะอันพึงประสงค์!N31)</f>
        <v/>
      </c>
      <c r="CO28" t="str">
        <f>IF(คุณลักษณะอันพึงประสงค์!O31="","",คุณลักษณะอันพึงประสงค์!O31)</f>
        <v/>
      </c>
      <c r="CP28" t="str">
        <f>IF(คุณลักษณะอันพึงประสงค์!P31="","",คุณลักษณะอันพึงประสงค์!P31)</f>
        <v/>
      </c>
      <c r="CQ28" t="str">
        <f>IF(คุณลักษณะอันพึงประสงค์!Q31="","",คุณลักษณะอันพึงประสงค์!Q31)</f>
        <v/>
      </c>
      <c r="CR28" t="str">
        <f>IF(คุณลักษณะอันพึงประสงค์!R31="","",คุณลักษณะอันพึงประสงค์!R31)</f>
        <v/>
      </c>
      <c r="CS28" t="str">
        <f>IF(คุณลักษณะอันพึงประสงค์!S31="","",คุณลักษณะอันพึงประสงค์!S31)</f>
        <v/>
      </c>
      <c r="CT28" t="str">
        <f>IF(คุณลักษณะอันพึงประสงค์!T31="","",คุณลักษณะอันพึงประสงค์!T31)</f>
        <v/>
      </c>
      <c r="CU28" t="str">
        <f>IF(คุณลักษณะอันพึงประสงค์!U31="","",คุณลักษณะอันพึงประสงค์!U31)</f>
        <v/>
      </c>
      <c r="CV28" t="str">
        <f>IF(คุณลักษณะอันพึงประสงค์!V31="","",คุณลักษณะอันพึงประสงค์!V31)</f>
        <v/>
      </c>
      <c r="CW28" t="str">
        <f>IF(คุณลักษณะอันพึงประสงค์!W31="","",คุณลักษณะอันพึงประสงค์!W31)</f>
        <v/>
      </c>
    </row>
    <row r="29" spans="1:101">
      <c r="A29" t="str">
        <f>IF(คะแนนเก็บ!B32="","",คะแนนเก็บ!B32)</f>
        <v/>
      </c>
      <c r="B29" t="str">
        <f>IF(คะแนนเก็บ!D32="","",คะแนนเก็บ!D32)</f>
        <v/>
      </c>
      <c r="C29" t="str">
        <f>IF(คะแนนเก็บ!E32="","",คะแนนเก็บ!E32)</f>
        <v/>
      </c>
      <c r="D29" t="str">
        <f>IF(คะแนนเก็บ!F32="","",คะแนนเก็บ!F32)</f>
        <v/>
      </c>
      <c r="E29" t="str">
        <f>IF(คะแนนเก็บ!G32="","",คะแนนเก็บ!G32)</f>
        <v/>
      </c>
      <c r="F29" t="str">
        <f>IF(คะแนนเก็บ!H32="","",คะแนนเก็บ!H32)</f>
        <v/>
      </c>
      <c r="G29" t="str">
        <f>IF(คะแนนเก็บ!I32="","",คะแนนเก็บ!I32)</f>
        <v/>
      </c>
      <c r="H29" t="str">
        <f>IF(คะแนนเก็บ!J32="","",คะแนนเก็บ!J32)</f>
        <v/>
      </c>
      <c r="I29" t="str">
        <f>IF(คะแนนเก็บ!K32="","",คะแนนเก็บ!K32)</f>
        <v/>
      </c>
      <c r="J29" t="str">
        <f>IF(คะแนนเก็บ!L32="","",คะแนนเก็บ!L32)</f>
        <v/>
      </c>
      <c r="K29" t="str">
        <f>IF(คะแนนเก็บ!M32="","",คะแนนเก็บ!M32)</f>
        <v/>
      </c>
      <c r="L29" t="str">
        <f>IF(คะแนนเก็บ!N32="","",คะแนนเก็บ!N32)</f>
        <v/>
      </c>
      <c r="M29" t="str">
        <f>IF(คะแนนเก็บ!O32="","",คะแนนเก็บ!O32)</f>
        <v/>
      </c>
      <c r="N29" t="str">
        <f>IF(คะแนนเก็บ!P32="","",คะแนนเก็บ!P32)</f>
        <v/>
      </c>
      <c r="O29" t="str">
        <f>IF(คะแนนเก็บ!Q32="","",คะแนนเก็บ!Q32)</f>
        <v/>
      </c>
      <c r="P29" t="str">
        <f>IF(คะแนนเก็บ!R32="","",คะแนนเก็บ!R32)</f>
        <v/>
      </c>
      <c r="Q29" t="str">
        <f>IF(คะแนนเก็บ!S32="","",คะแนนเก็บ!S32)</f>
        <v/>
      </c>
      <c r="R29" t="str">
        <f>IF(คะแนนเก็บ!T32="","",คะแนนเก็บ!T32)</f>
        <v/>
      </c>
      <c r="S29" t="str">
        <f>IF(คะแนนเก็บ!U32="","",คะแนนเก็บ!U32)</f>
        <v/>
      </c>
      <c r="T29" t="str">
        <f>IF(คะแนนเก็บ!V32="","",คะแนนเก็บ!V32)</f>
        <v/>
      </c>
      <c r="U29" t="str">
        <f>IF(คะแนนเก็บ!W32="","",คะแนนเก็บ!W32)</f>
        <v/>
      </c>
      <c r="V29" t="str">
        <f>IF(คะแนนเก็บหลังกลางภาค!D32="","",คะแนนเก็บหลังกลางภาค!D32)</f>
        <v/>
      </c>
      <c r="W29" t="str">
        <f>IF(คะแนนเก็บหลังกลางภาค!E32="","",คะแนนเก็บหลังกลางภาค!E32)</f>
        <v/>
      </c>
      <c r="X29" t="str">
        <f>IF(คะแนนเก็บหลังกลางภาค!F32="","",คะแนนเก็บหลังกลางภาค!F32)</f>
        <v/>
      </c>
      <c r="Y29" t="str">
        <f>IF(คะแนนเก็บหลังกลางภาค!G32="","",คะแนนเก็บหลังกลางภาค!G32)</f>
        <v/>
      </c>
      <c r="Z29" t="str">
        <f>IF(คะแนนเก็บหลังกลางภาค!H32="","",คะแนนเก็บหลังกลางภาค!H32)</f>
        <v/>
      </c>
      <c r="AA29" t="str">
        <f>IF(คะแนนเก็บหลังกลางภาค!I32="","",คะแนนเก็บหลังกลางภาค!I32)</f>
        <v/>
      </c>
      <c r="AB29" t="str">
        <f>IF(คะแนนเก็บหลังกลางภาค!J32="","",คะแนนเก็บหลังกลางภาค!J32)</f>
        <v/>
      </c>
      <c r="AC29" t="str">
        <f>IF(คะแนนเก็บหลังกลางภาค!K32="","",คะแนนเก็บหลังกลางภาค!K32)</f>
        <v/>
      </c>
      <c r="AD29" t="str">
        <f>IF(คะแนนเก็บหลังกลางภาค!L32="","",คะแนนเก็บหลังกลางภาค!L32)</f>
        <v/>
      </c>
      <c r="AE29" t="str">
        <f>IF(คะแนนเก็บหลังกลางภาค!M32="","",คะแนนเก็บหลังกลางภาค!M32)</f>
        <v/>
      </c>
      <c r="AF29" t="str">
        <f>IF(คะแนนเก็บหลังกลางภาค!N32="","",คะแนนเก็บหลังกลางภาค!N32)</f>
        <v/>
      </c>
      <c r="AG29" t="str">
        <f>IF(คะแนนเก็บหลังกลางภาค!O32="","",คะแนนเก็บหลังกลางภาค!O32)</f>
        <v/>
      </c>
      <c r="AH29" t="str">
        <f>IF(คะแนนเก็บหลังกลางภาค!P32="","",คะแนนเก็บหลังกลางภาค!P32)</f>
        <v/>
      </c>
      <c r="AI29" t="str">
        <f>IF(คะแนนเก็บหลังกลางภาค!Q32="","",คะแนนเก็บหลังกลางภาค!Q32)</f>
        <v/>
      </c>
      <c r="AJ29" t="str">
        <f>IF(คะแนนเก็บหลังกลางภาค!R32="","",คะแนนเก็บหลังกลางภาค!R32)</f>
        <v/>
      </c>
      <c r="AK29" t="str">
        <f>IF(คะแนนเก็บหลังกลางภาค!S32="","",คะแนนเก็บหลังกลางภาค!S32)</f>
        <v/>
      </c>
      <c r="AL29" t="str">
        <f>IF(คะแนนเก็บหลังกลางภาค!T32="","",คะแนนเก็บหลังกลางภาค!T32)</f>
        <v/>
      </c>
      <c r="AM29" t="str">
        <f>IF(คะแนนเก็บหลังกลางภาค!U32="","",คะแนนเก็บหลังกลางภาค!U32)</f>
        <v/>
      </c>
      <c r="AN29" t="str">
        <f>IF(คะแนนเก็บหลังกลางภาค!V32="","",คะแนนเก็บหลังกลางภาค!V32)</f>
        <v/>
      </c>
      <c r="AO29" t="str">
        <f>IF(คะแนนเก็บหลังกลางภาค!W32="","",คะแนนเก็บหลังกลางภาค!W32)</f>
        <v/>
      </c>
      <c r="AP29" t="str">
        <f>IF(คุณลักษณะอันพึงประสงค์!D32="","",คุณลักษณะอันพึงประสงค์!D32)</f>
        <v/>
      </c>
      <c r="AQ29" t="str">
        <f>IF(คุณลักษณะอันพึงประสงค์!E32="","",คุณลักษณะอันพึงประสงค์!E32)</f>
        <v/>
      </c>
      <c r="AR29" t="str">
        <f>IF(คุณลักษณะอันพึงประสงค์!F32="","",คุณลักษณะอันพึงประสงค์!F32)</f>
        <v/>
      </c>
      <c r="AS29" t="str">
        <f>IF(คุณลักษณะอันพึงประสงค์!G32="","",คุณลักษณะอันพึงประสงค์!G32)</f>
        <v/>
      </c>
      <c r="AT29" t="str">
        <f>IF(คุณลักษณะอันพึงประสงค์!H32="","",คุณลักษณะอันพึงประสงค์!H32)</f>
        <v/>
      </c>
      <c r="AU29" t="str">
        <f>IF(คุณลักษณะอันพึงประสงค์!I32="","",คุณลักษณะอันพึงประสงค์!I32)</f>
        <v/>
      </c>
      <c r="AV29" t="str">
        <f>IF(คุณลักษณะอันพึงประสงค์!J32="","",คุณลักษณะอันพึงประสงค์!J32)</f>
        <v/>
      </c>
      <c r="AW29" t="str">
        <f>IF(คุณลักษณะอันพึงประสงค์!K32="","",คุณลักษณะอันพึงประสงค์!K32)</f>
        <v/>
      </c>
      <c r="AX29" t="str">
        <f>IF(คุณลักษณะอันพึงประสงค์!L32="","",คุณลักษณะอันพึงประสงค์!L32)</f>
        <v/>
      </c>
      <c r="AY29" t="str">
        <f>IF(คุณลักษณะอันพึงประสงค์!M32="","",คุณลักษณะอันพึงประสงค์!M32)</f>
        <v/>
      </c>
      <c r="AZ29" t="str">
        <f>IF(กลางภาค!D32="","",กลางภาค!D32)</f>
        <v/>
      </c>
      <c r="BA29" t="str">
        <f>IF(กลางภาค!E32="","",กลางภาค!E32)</f>
        <v/>
      </c>
      <c r="BB29" t="str">
        <f>IF(กลางภาค!F32="","",กลางภาค!F32)</f>
        <v/>
      </c>
      <c r="BC29" t="str">
        <f>IF(กลางภาค!G32="","",กลางภาค!G32)</f>
        <v/>
      </c>
      <c r="BD29" t="str">
        <f>IF(กลางภาค!H32="","",กลางภาค!H32)</f>
        <v/>
      </c>
      <c r="BE29" t="str">
        <f>IF(กลางภาค!I32="","",กลางภาค!I32)</f>
        <v/>
      </c>
      <c r="BF29" t="str">
        <f>IF(กลางภาค!J32="","",กลางภาค!J32)</f>
        <v/>
      </c>
      <c r="BG29" t="str">
        <f>IF(กลางภาค!K32="","",กลางภาค!K32)</f>
        <v/>
      </c>
      <c r="BH29" t="str">
        <f>IF(กลางภาค!L32="","",กลางภาค!L32)</f>
        <v/>
      </c>
      <c r="BI29" t="str">
        <f>IF(กลางภาค!M32="","",กลางภาค!M32)</f>
        <v/>
      </c>
      <c r="BJ29" t="str">
        <f>IF(ปลายภาค!D32="","",ปลายภาค!D32)</f>
        <v/>
      </c>
      <c r="BK29" t="str">
        <f>IF(ปลายภาค!E32="","",ปลายภาค!E32)</f>
        <v/>
      </c>
      <c r="BL29" t="str">
        <f>IF(ปลายภาค!F32="","",ปลายภาค!F32)</f>
        <v/>
      </c>
      <c r="BM29" t="str">
        <f>IF(ปลายภาค!G32="","",ปลายภาค!G32)</f>
        <v/>
      </c>
      <c r="BN29" t="str">
        <f>IF(ปลายภาค!H32="","",ปลายภาค!H32)</f>
        <v/>
      </c>
      <c r="BO29" t="str">
        <f>IF(ปลายภาค!I32="","",ปลายภาค!I32)</f>
        <v/>
      </c>
      <c r="BP29" t="str">
        <f>IF(ปลายภาค!J32="","",ปลายภาค!J32)</f>
        <v/>
      </c>
      <c r="BQ29" t="str">
        <f>IF(ปลายภาค!K32="","",ปลายภาค!K32)</f>
        <v/>
      </c>
      <c r="BR29" t="str">
        <f>IF(ปลายภาค!L32="","",ปลายภาค!L32)</f>
        <v/>
      </c>
      <c r="BS29" t="str">
        <f>IF(ปลายภาค!M32="","",ปลายภาค!M32)</f>
        <v/>
      </c>
      <c r="BT29" t="str">
        <f>IF(กลางภาค!N32="","",กลางภาค!N32)</f>
        <v/>
      </c>
      <c r="BU29" t="str">
        <f>IF(ปลายภาค!N32="","",ปลายภาค!N32)</f>
        <v/>
      </c>
      <c r="BV29" t="str">
        <f>IF(คุณลักษณะอันพึงประสงค์!X32="","",คุณลักษณะอันพึงประสงค์!X32)</f>
        <v/>
      </c>
      <c r="BW29" t="str">
        <f>IF(อ่านคิดวิเคราะห์!I32="","",อ่านคิดวิเคราะห์!I32)</f>
        <v/>
      </c>
      <c r="BX29" t="str">
        <f>IF(สมรรถนะ!N32="","",สมรรถนะ!N32)</f>
        <v/>
      </c>
      <c r="BY29" t="str">
        <f>IF(อ่านคิดวิเคราะห์!D32="","",อ่านคิดวิเคราะห์!D32)</f>
        <v/>
      </c>
      <c r="BZ29" t="str">
        <f>IF(อ่านคิดวิเคราะห์!E32="","",อ่านคิดวิเคราะห์!E32)</f>
        <v/>
      </c>
      <c r="CA29" t="str">
        <f>IF(อ่านคิดวิเคราะห์!F32="","",อ่านคิดวิเคราะห์!F32)</f>
        <v/>
      </c>
      <c r="CB29" t="str">
        <f>IF(อ่านคิดวิเคราะห์!G32="","",อ่านคิดวิเคราะห์!G32)</f>
        <v/>
      </c>
      <c r="CC29" t="str">
        <f>IF(อ่านคิดวิเคราะห์!H32="","",อ่านคิดวิเคราะห์!H32)</f>
        <v/>
      </c>
      <c r="CD29" t="str">
        <f>IF(สมรรถนะ!D32="","",สมรรถนะ!D32)</f>
        <v/>
      </c>
      <c r="CE29" t="str">
        <f>IF(สมรรถนะ!E32="","",สมรรถนะ!E32)</f>
        <v/>
      </c>
      <c r="CF29" t="str">
        <f>IF(สมรรถนะ!F32="","",สมรรถนะ!F32)</f>
        <v/>
      </c>
      <c r="CG29" t="str">
        <f>IF(สมรรถนะ!G32="","",สมรรถนะ!G32)</f>
        <v/>
      </c>
      <c r="CH29" t="str">
        <f>IF(สมรรถนะ!H32="","",สมรรถนะ!H32)</f>
        <v/>
      </c>
      <c r="CI29" t="str">
        <f>IF(สมรรถนะ!I32="","",สมรรถนะ!I32)</f>
        <v/>
      </c>
      <c r="CJ29" t="str">
        <f>IF(สมรรถนะ!J32="","",สมรรถนะ!J32)</f>
        <v/>
      </c>
      <c r="CK29" t="str">
        <f>IF(สมรรถนะ!K32="","",สมรรถนะ!K32)</f>
        <v/>
      </c>
      <c r="CL29" t="str">
        <f>IF(สมรรถนะ!L32="","",สมรรถนะ!L32)</f>
        <v/>
      </c>
      <c r="CM29" t="str">
        <f>IF(สมรรถนะ!M32="","",สมรรถนะ!M32)</f>
        <v/>
      </c>
      <c r="CN29" t="str">
        <f>IF(คุณลักษณะอันพึงประสงค์!N32="","",คุณลักษณะอันพึงประสงค์!N32)</f>
        <v/>
      </c>
      <c r="CO29" t="str">
        <f>IF(คุณลักษณะอันพึงประสงค์!O32="","",คุณลักษณะอันพึงประสงค์!O32)</f>
        <v/>
      </c>
      <c r="CP29" t="str">
        <f>IF(คุณลักษณะอันพึงประสงค์!P32="","",คุณลักษณะอันพึงประสงค์!P32)</f>
        <v/>
      </c>
      <c r="CQ29" t="str">
        <f>IF(คุณลักษณะอันพึงประสงค์!Q32="","",คุณลักษณะอันพึงประสงค์!Q32)</f>
        <v/>
      </c>
      <c r="CR29" t="str">
        <f>IF(คุณลักษณะอันพึงประสงค์!R32="","",คุณลักษณะอันพึงประสงค์!R32)</f>
        <v/>
      </c>
      <c r="CS29" t="str">
        <f>IF(คุณลักษณะอันพึงประสงค์!S32="","",คุณลักษณะอันพึงประสงค์!S32)</f>
        <v/>
      </c>
      <c r="CT29" t="str">
        <f>IF(คุณลักษณะอันพึงประสงค์!T32="","",คุณลักษณะอันพึงประสงค์!T32)</f>
        <v/>
      </c>
      <c r="CU29" t="str">
        <f>IF(คุณลักษณะอันพึงประสงค์!U32="","",คุณลักษณะอันพึงประสงค์!U32)</f>
        <v/>
      </c>
      <c r="CV29" t="str">
        <f>IF(คุณลักษณะอันพึงประสงค์!V32="","",คุณลักษณะอันพึงประสงค์!V32)</f>
        <v/>
      </c>
      <c r="CW29" t="str">
        <f>IF(คุณลักษณะอันพึงประสงค์!W32="","",คุณลักษณะอันพึงประสงค์!W32)</f>
        <v/>
      </c>
    </row>
    <row r="30" spans="1:101">
      <c r="A30" t="str">
        <f>IF(คะแนนเก็บ!B33="","",คะแนนเก็บ!B33)</f>
        <v/>
      </c>
      <c r="B30" t="str">
        <f>IF(คะแนนเก็บ!D33="","",คะแนนเก็บ!D33)</f>
        <v/>
      </c>
      <c r="C30" t="str">
        <f>IF(คะแนนเก็บ!E33="","",คะแนนเก็บ!E33)</f>
        <v/>
      </c>
      <c r="D30" t="str">
        <f>IF(คะแนนเก็บ!F33="","",คะแนนเก็บ!F33)</f>
        <v/>
      </c>
      <c r="E30" t="str">
        <f>IF(คะแนนเก็บ!G33="","",คะแนนเก็บ!G33)</f>
        <v/>
      </c>
      <c r="F30" t="str">
        <f>IF(คะแนนเก็บ!H33="","",คะแนนเก็บ!H33)</f>
        <v/>
      </c>
      <c r="G30" t="str">
        <f>IF(คะแนนเก็บ!I33="","",คะแนนเก็บ!I33)</f>
        <v/>
      </c>
      <c r="H30" t="str">
        <f>IF(คะแนนเก็บ!J33="","",คะแนนเก็บ!J33)</f>
        <v/>
      </c>
      <c r="I30" t="str">
        <f>IF(คะแนนเก็บ!K33="","",คะแนนเก็บ!K33)</f>
        <v/>
      </c>
      <c r="J30" t="str">
        <f>IF(คะแนนเก็บ!L33="","",คะแนนเก็บ!L33)</f>
        <v/>
      </c>
      <c r="K30" t="str">
        <f>IF(คะแนนเก็บ!M33="","",คะแนนเก็บ!M33)</f>
        <v/>
      </c>
      <c r="L30" t="str">
        <f>IF(คะแนนเก็บ!N33="","",คะแนนเก็บ!N33)</f>
        <v/>
      </c>
      <c r="M30" t="str">
        <f>IF(คะแนนเก็บ!O33="","",คะแนนเก็บ!O33)</f>
        <v/>
      </c>
      <c r="N30" t="str">
        <f>IF(คะแนนเก็บ!P33="","",คะแนนเก็บ!P33)</f>
        <v/>
      </c>
      <c r="O30" t="str">
        <f>IF(คะแนนเก็บ!Q33="","",คะแนนเก็บ!Q33)</f>
        <v/>
      </c>
      <c r="P30" t="str">
        <f>IF(คะแนนเก็บ!R33="","",คะแนนเก็บ!R33)</f>
        <v/>
      </c>
      <c r="Q30" t="str">
        <f>IF(คะแนนเก็บ!S33="","",คะแนนเก็บ!S33)</f>
        <v/>
      </c>
      <c r="R30" t="str">
        <f>IF(คะแนนเก็บ!T33="","",คะแนนเก็บ!T33)</f>
        <v/>
      </c>
      <c r="S30" t="str">
        <f>IF(คะแนนเก็บ!U33="","",คะแนนเก็บ!U33)</f>
        <v/>
      </c>
      <c r="T30" t="str">
        <f>IF(คะแนนเก็บ!V33="","",คะแนนเก็บ!V33)</f>
        <v/>
      </c>
      <c r="U30" t="str">
        <f>IF(คะแนนเก็บ!W33="","",คะแนนเก็บ!W33)</f>
        <v/>
      </c>
      <c r="V30" t="str">
        <f>IF(คะแนนเก็บหลังกลางภาค!D33="","",คะแนนเก็บหลังกลางภาค!D33)</f>
        <v/>
      </c>
      <c r="W30" t="str">
        <f>IF(คะแนนเก็บหลังกลางภาค!E33="","",คะแนนเก็บหลังกลางภาค!E33)</f>
        <v/>
      </c>
      <c r="X30" t="str">
        <f>IF(คะแนนเก็บหลังกลางภาค!F33="","",คะแนนเก็บหลังกลางภาค!F33)</f>
        <v/>
      </c>
      <c r="Y30" t="str">
        <f>IF(คะแนนเก็บหลังกลางภาค!G33="","",คะแนนเก็บหลังกลางภาค!G33)</f>
        <v/>
      </c>
      <c r="Z30" t="str">
        <f>IF(คะแนนเก็บหลังกลางภาค!H33="","",คะแนนเก็บหลังกลางภาค!H33)</f>
        <v/>
      </c>
      <c r="AA30" t="str">
        <f>IF(คะแนนเก็บหลังกลางภาค!I33="","",คะแนนเก็บหลังกลางภาค!I33)</f>
        <v/>
      </c>
      <c r="AB30" t="str">
        <f>IF(คะแนนเก็บหลังกลางภาค!J33="","",คะแนนเก็บหลังกลางภาค!J33)</f>
        <v/>
      </c>
      <c r="AC30" t="str">
        <f>IF(คะแนนเก็บหลังกลางภาค!K33="","",คะแนนเก็บหลังกลางภาค!K33)</f>
        <v/>
      </c>
      <c r="AD30" t="str">
        <f>IF(คะแนนเก็บหลังกลางภาค!L33="","",คะแนนเก็บหลังกลางภาค!L33)</f>
        <v/>
      </c>
      <c r="AE30" t="str">
        <f>IF(คะแนนเก็บหลังกลางภาค!M33="","",คะแนนเก็บหลังกลางภาค!M33)</f>
        <v/>
      </c>
      <c r="AF30" t="str">
        <f>IF(คะแนนเก็บหลังกลางภาค!N33="","",คะแนนเก็บหลังกลางภาค!N33)</f>
        <v/>
      </c>
      <c r="AG30" t="str">
        <f>IF(คะแนนเก็บหลังกลางภาค!O33="","",คะแนนเก็บหลังกลางภาค!O33)</f>
        <v/>
      </c>
      <c r="AH30" t="str">
        <f>IF(คะแนนเก็บหลังกลางภาค!P33="","",คะแนนเก็บหลังกลางภาค!P33)</f>
        <v/>
      </c>
      <c r="AI30" t="str">
        <f>IF(คะแนนเก็บหลังกลางภาค!Q33="","",คะแนนเก็บหลังกลางภาค!Q33)</f>
        <v/>
      </c>
      <c r="AJ30" t="str">
        <f>IF(คะแนนเก็บหลังกลางภาค!R33="","",คะแนนเก็บหลังกลางภาค!R33)</f>
        <v/>
      </c>
      <c r="AK30" t="str">
        <f>IF(คะแนนเก็บหลังกลางภาค!S33="","",คะแนนเก็บหลังกลางภาค!S33)</f>
        <v/>
      </c>
      <c r="AL30" t="str">
        <f>IF(คะแนนเก็บหลังกลางภาค!T33="","",คะแนนเก็บหลังกลางภาค!T33)</f>
        <v/>
      </c>
      <c r="AM30" t="str">
        <f>IF(คะแนนเก็บหลังกลางภาค!U33="","",คะแนนเก็บหลังกลางภาค!U33)</f>
        <v/>
      </c>
      <c r="AN30" t="str">
        <f>IF(คะแนนเก็บหลังกลางภาค!V33="","",คะแนนเก็บหลังกลางภาค!V33)</f>
        <v/>
      </c>
      <c r="AO30" t="str">
        <f>IF(คะแนนเก็บหลังกลางภาค!W33="","",คะแนนเก็บหลังกลางภาค!W33)</f>
        <v/>
      </c>
      <c r="AP30" t="str">
        <f>IF(คุณลักษณะอันพึงประสงค์!D33="","",คุณลักษณะอันพึงประสงค์!D33)</f>
        <v/>
      </c>
      <c r="AQ30" t="str">
        <f>IF(คุณลักษณะอันพึงประสงค์!E33="","",คุณลักษณะอันพึงประสงค์!E33)</f>
        <v/>
      </c>
      <c r="AR30" t="str">
        <f>IF(คุณลักษณะอันพึงประสงค์!F33="","",คุณลักษณะอันพึงประสงค์!F33)</f>
        <v/>
      </c>
      <c r="AS30" t="str">
        <f>IF(คุณลักษณะอันพึงประสงค์!G33="","",คุณลักษณะอันพึงประสงค์!G33)</f>
        <v/>
      </c>
      <c r="AT30" t="str">
        <f>IF(คุณลักษณะอันพึงประสงค์!H33="","",คุณลักษณะอันพึงประสงค์!H33)</f>
        <v/>
      </c>
      <c r="AU30" t="str">
        <f>IF(คุณลักษณะอันพึงประสงค์!I33="","",คุณลักษณะอันพึงประสงค์!I33)</f>
        <v/>
      </c>
      <c r="AV30" t="str">
        <f>IF(คุณลักษณะอันพึงประสงค์!J33="","",คุณลักษณะอันพึงประสงค์!J33)</f>
        <v/>
      </c>
      <c r="AW30" t="str">
        <f>IF(คุณลักษณะอันพึงประสงค์!K33="","",คุณลักษณะอันพึงประสงค์!K33)</f>
        <v/>
      </c>
      <c r="AX30" t="str">
        <f>IF(คุณลักษณะอันพึงประสงค์!L33="","",คุณลักษณะอันพึงประสงค์!L33)</f>
        <v/>
      </c>
      <c r="AY30" t="str">
        <f>IF(คุณลักษณะอันพึงประสงค์!M33="","",คุณลักษณะอันพึงประสงค์!M33)</f>
        <v/>
      </c>
      <c r="AZ30" t="str">
        <f>IF(กลางภาค!D33="","",กลางภาค!D33)</f>
        <v/>
      </c>
      <c r="BA30" t="str">
        <f>IF(กลางภาค!E33="","",กลางภาค!E33)</f>
        <v/>
      </c>
      <c r="BB30" t="str">
        <f>IF(กลางภาค!F33="","",กลางภาค!F33)</f>
        <v/>
      </c>
      <c r="BC30" t="str">
        <f>IF(กลางภาค!G33="","",กลางภาค!G33)</f>
        <v/>
      </c>
      <c r="BD30" t="str">
        <f>IF(กลางภาค!H33="","",กลางภาค!H33)</f>
        <v/>
      </c>
      <c r="BE30" t="str">
        <f>IF(กลางภาค!I33="","",กลางภาค!I33)</f>
        <v/>
      </c>
      <c r="BF30" t="str">
        <f>IF(กลางภาค!J33="","",กลางภาค!J33)</f>
        <v/>
      </c>
      <c r="BG30" t="str">
        <f>IF(กลางภาค!K33="","",กลางภาค!K33)</f>
        <v/>
      </c>
      <c r="BH30" t="str">
        <f>IF(กลางภาค!L33="","",กลางภาค!L33)</f>
        <v/>
      </c>
      <c r="BI30" t="str">
        <f>IF(กลางภาค!M33="","",กลางภาค!M33)</f>
        <v/>
      </c>
      <c r="BJ30" t="str">
        <f>IF(ปลายภาค!D33="","",ปลายภาค!D33)</f>
        <v/>
      </c>
      <c r="BK30" t="str">
        <f>IF(ปลายภาค!E33="","",ปลายภาค!E33)</f>
        <v/>
      </c>
      <c r="BL30" t="str">
        <f>IF(ปลายภาค!F33="","",ปลายภาค!F33)</f>
        <v/>
      </c>
      <c r="BM30" t="str">
        <f>IF(ปลายภาค!G33="","",ปลายภาค!G33)</f>
        <v/>
      </c>
      <c r="BN30" t="str">
        <f>IF(ปลายภาค!H33="","",ปลายภาค!H33)</f>
        <v/>
      </c>
      <c r="BO30" t="str">
        <f>IF(ปลายภาค!I33="","",ปลายภาค!I33)</f>
        <v/>
      </c>
      <c r="BP30" t="str">
        <f>IF(ปลายภาค!J33="","",ปลายภาค!J33)</f>
        <v/>
      </c>
      <c r="BQ30" t="str">
        <f>IF(ปลายภาค!K33="","",ปลายภาค!K33)</f>
        <v/>
      </c>
      <c r="BR30" t="str">
        <f>IF(ปลายภาค!L33="","",ปลายภาค!L33)</f>
        <v/>
      </c>
      <c r="BS30" t="str">
        <f>IF(ปลายภาค!M33="","",ปลายภาค!M33)</f>
        <v/>
      </c>
      <c r="BT30" t="str">
        <f>IF(กลางภาค!N33="","",กลางภาค!N33)</f>
        <v/>
      </c>
      <c r="BU30" t="str">
        <f>IF(ปลายภาค!N33="","",ปลายภาค!N33)</f>
        <v/>
      </c>
      <c r="BV30" t="str">
        <f>IF(คุณลักษณะอันพึงประสงค์!X33="","",คุณลักษณะอันพึงประสงค์!X33)</f>
        <v/>
      </c>
      <c r="BW30" t="str">
        <f>IF(อ่านคิดวิเคราะห์!I33="","",อ่านคิดวิเคราะห์!I33)</f>
        <v/>
      </c>
      <c r="BX30" t="str">
        <f>IF(สมรรถนะ!N33="","",สมรรถนะ!N33)</f>
        <v/>
      </c>
      <c r="BY30" t="str">
        <f>IF(อ่านคิดวิเคราะห์!D33="","",อ่านคิดวิเคราะห์!D33)</f>
        <v/>
      </c>
      <c r="BZ30" t="str">
        <f>IF(อ่านคิดวิเคราะห์!E33="","",อ่านคิดวิเคราะห์!E33)</f>
        <v/>
      </c>
      <c r="CA30" t="str">
        <f>IF(อ่านคิดวิเคราะห์!F33="","",อ่านคิดวิเคราะห์!F33)</f>
        <v/>
      </c>
      <c r="CB30" t="str">
        <f>IF(อ่านคิดวิเคราะห์!G33="","",อ่านคิดวิเคราะห์!G33)</f>
        <v/>
      </c>
      <c r="CC30" t="str">
        <f>IF(อ่านคิดวิเคราะห์!H33="","",อ่านคิดวิเคราะห์!H33)</f>
        <v/>
      </c>
      <c r="CD30" t="str">
        <f>IF(สมรรถนะ!D33="","",สมรรถนะ!D33)</f>
        <v/>
      </c>
      <c r="CE30" t="str">
        <f>IF(สมรรถนะ!E33="","",สมรรถนะ!E33)</f>
        <v/>
      </c>
      <c r="CF30" t="str">
        <f>IF(สมรรถนะ!F33="","",สมรรถนะ!F33)</f>
        <v/>
      </c>
      <c r="CG30" t="str">
        <f>IF(สมรรถนะ!G33="","",สมรรถนะ!G33)</f>
        <v/>
      </c>
      <c r="CH30" t="str">
        <f>IF(สมรรถนะ!H33="","",สมรรถนะ!H33)</f>
        <v/>
      </c>
      <c r="CI30" t="str">
        <f>IF(สมรรถนะ!I33="","",สมรรถนะ!I33)</f>
        <v/>
      </c>
      <c r="CJ30" t="str">
        <f>IF(สมรรถนะ!J33="","",สมรรถนะ!J33)</f>
        <v/>
      </c>
      <c r="CK30" t="str">
        <f>IF(สมรรถนะ!K33="","",สมรรถนะ!K33)</f>
        <v/>
      </c>
      <c r="CL30" t="str">
        <f>IF(สมรรถนะ!L33="","",สมรรถนะ!L33)</f>
        <v/>
      </c>
      <c r="CM30" t="str">
        <f>IF(สมรรถนะ!M33="","",สมรรถนะ!M33)</f>
        <v/>
      </c>
      <c r="CN30" t="str">
        <f>IF(คุณลักษณะอันพึงประสงค์!N33="","",คุณลักษณะอันพึงประสงค์!N33)</f>
        <v/>
      </c>
      <c r="CO30" t="str">
        <f>IF(คุณลักษณะอันพึงประสงค์!O33="","",คุณลักษณะอันพึงประสงค์!O33)</f>
        <v/>
      </c>
      <c r="CP30" t="str">
        <f>IF(คุณลักษณะอันพึงประสงค์!P33="","",คุณลักษณะอันพึงประสงค์!P33)</f>
        <v/>
      </c>
      <c r="CQ30" t="str">
        <f>IF(คุณลักษณะอันพึงประสงค์!Q33="","",คุณลักษณะอันพึงประสงค์!Q33)</f>
        <v/>
      </c>
      <c r="CR30" t="str">
        <f>IF(คุณลักษณะอันพึงประสงค์!R33="","",คุณลักษณะอันพึงประสงค์!R33)</f>
        <v/>
      </c>
      <c r="CS30" t="str">
        <f>IF(คุณลักษณะอันพึงประสงค์!S33="","",คุณลักษณะอันพึงประสงค์!S33)</f>
        <v/>
      </c>
      <c r="CT30" t="str">
        <f>IF(คุณลักษณะอันพึงประสงค์!T33="","",คุณลักษณะอันพึงประสงค์!T33)</f>
        <v/>
      </c>
      <c r="CU30" t="str">
        <f>IF(คุณลักษณะอันพึงประสงค์!U33="","",คุณลักษณะอันพึงประสงค์!U33)</f>
        <v/>
      </c>
      <c r="CV30" t="str">
        <f>IF(คุณลักษณะอันพึงประสงค์!V33="","",คุณลักษณะอันพึงประสงค์!V33)</f>
        <v/>
      </c>
      <c r="CW30" t="str">
        <f>IF(คุณลักษณะอันพึงประสงค์!W33="","",คุณลักษณะอันพึงประสงค์!W33)</f>
        <v/>
      </c>
    </row>
    <row r="31" spans="1:101">
      <c r="A31" t="str">
        <f>IF(คะแนนเก็บ!B34="","",คะแนนเก็บ!B34)</f>
        <v/>
      </c>
      <c r="B31" t="str">
        <f>IF(คะแนนเก็บ!D34="","",คะแนนเก็บ!D34)</f>
        <v/>
      </c>
      <c r="C31" t="str">
        <f>IF(คะแนนเก็บ!E34="","",คะแนนเก็บ!E34)</f>
        <v/>
      </c>
      <c r="D31" t="str">
        <f>IF(คะแนนเก็บ!F34="","",คะแนนเก็บ!F34)</f>
        <v/>
      </c>
      <c r="E31" t="str">
        <f>IF(คะแนนเก็บ!G34="","",คะแนนเก็บ!G34)</f>
        <v/>
      </c>
      <c r="F31" t="str">
        <f>IF(คะแนนเก็บ!H34="","",คะแนนเก็บ!H34)</f>
        <v/>
      </c>
      <c r="G31" t="str">
        <f>IF(คะแนนเก็บ!I34="","",คะแนนเก็บ!I34)</f>
        <v/>
      </c>
      <c r="H31" t="str">
        <f>IF(คะแนนเก็บ!J34="","",คะแนนเก็บ!J34)</f>
        <v/>
      </c>
      <c r="I31" t="str">
        <f>IF(คะแนนเก็บ!K34="","",คะแนนเก็บ!K34)</f>
        <v/>
      </c>
      <c r="J31" t="str">
        <f>IF(คะแนนเก็บ!L34="","",คะแนนเก็บ!L34)</f>
        <v/>
      </c>
      <c r="K31" t="str">
        <f>IF(คะแนนเก็บ!M34="","",คะแนนเก็บ!M34)</f>
        <v/>
      </c>
      <c r="L31" t="str">
        <f>IF(คะแนนเก็บ!N34="","",คะแนนเก็บ!N34)</f>
        <v/>
      </c>
      <c r="M31" t="str">
        <f>IF(คะแนนเก็บ!O34="","",คะแนนเก็บ!O34)</f>
        <v/>
      </c>
      <c r="N31" t="str">
        <f>IF(คะแนนเก็บ!P34="","",คะแนนเก็บ!P34)</f>
        <v/>
      </c>
      <c r="O31" t="str">
        <f>IF(คะแนนเก็บ!Q34="","",คะแนนเก็บ!Q34)</f>
        <v/>
      </c>
      <c r="P31" t="str">
        <f>IF(คะแนนเก็บ!R34="","",คะแนนเก็บ!R34)</f>
        <v/>
      </c>
      <c r="Q31" t="str">
        <f>IF(คะแนนเก็บ!S34="","",คะแนนเก็บ!S34)</f>
        <v/>
      </c>
      <c r="R31" t="str">
        <f>IF(คะแนนเก็บ!T34="","",คะแนนเก็บ!T34)</f>
        <v/>
      </c>
      <c r="S31" t="str">
        <f>IF(คะแนนเก็บ!U34="","",คะแนนเก็บ!U34)</f>
        <v/>
      </c>
      <c r="T31" t="str">
        <f>IF(คะแนนเก็บ!V34="","",คะแนนเก็บ!V34)</f>
        <v/>
      </c>
      <c r="U31" t="str">
        <f>IF(คะแนนเก็บ!W34="","",คะแนนเก็บ!W34)</f>
        <v/>
      </c>
      <c r="V31" t="str">
        <f>IF(คะแนนเก็บหลังกลางภาค!D34="","",คะแนนเก็บหลังกลางภาค!D34)</f>
        <v/>
      </c>
      <c r="W31" t="str">
        <f>IF(คะแนนเก็บหลังกลางภาค!E34="","",คะแนนเก็บหลังกลางภาค!E34)</f>
        <v/>
      </c>
      <c r="X31" t="str">
        <f>IF(คะแนนเก็บหลังกลางภาค!F34="","",คะแนนเก็บหลังกลางภาค!F34)</f>
        <v/>
      </c>
      <c r="Y31" t="str">
        <f>IF(คะแนนเก็บหลังกลางภาค!G34="","",คะแนนเก็บหลังกลางภาค!G34)</f>
        <v/>
      </c>
      <c r="Z31" t="str">
        <f>IF(คะแนนเก็บหลังกลางภาค!H34="","",คะแนนเก็บหลังกลางภาค!H34)</f>
        <v/>
      </c>
      <c r="AA31" t="str">
        <f>IF(คะแนนเก็บหลังกลางภาค!I34="","",คะแนนเก็บหลังกลางภาค!I34)</f>
        <v/>
      </c>
      <c r="AB31" t="str">
        <f>IF(คะแนนเก็บหลังกลางภาค!J34="","",คะแนนเก็บหลังกลางภาค!J34)</f>
        <v/>
      </c>
      <c r="AC31" t="str">
        <f>IF(คะแนนเก็บหลังกลางภาค!K34="","",คะแนนเก็บหลังกลางภาค!K34)</f>
        <v/>
      </c>
      <c r="AD31" t="str">
        <f>IF(คะแนนเก็บหลังกลางภาค!L34="","",คะแนนเก็บหลังกลางภาค!L34)</f>
        <v/>
      </c>
      <c r="AE31" t="str">
        <f>IF(คะแนนเก็บหลังกลางภาค!M34="","",คะแนนเก็บหลังกลางภาค!M34)</f>
        <v/>
      </c>
      <c r="AF31" t="str">
        <f>IF(คะแนนเก็บหลังกลางภาค!N34="","",คะแนนเก็บหลังกลางภาค!N34)</f>
        <v/>
      </c>
      <c r="AG31" t="str">
        <f>IF(คะแนนเก็บหลังกลางภาค!O34="","",คะแนนเก็บหลังกลางภาค!O34)</f>
        <v/>
      </c>
      <c r="AH31" t="str">
        <f>IF(คะแนนเก็บหลังกลางภาค!P34="","",คะแนนเก็บหลังกลางภาค!P34)</f>
        <v/>
      </c>
      <c r="AI31" t="str">
        <f>IF(คะแนนเก็บหลังกลางภาค!Q34="","",คะแนนเก็บหลังกลางภาค!Q34)</f>
        <v/>
      </c>
      <c r="AJ31" t="str">
        <f>IF(คะแนนเก็บหลังกลางภาค!R34="","",คะแนนเก็บหลังกลางภาค!R34)</f>
        <v/>
      </c>
      <c r="AK31" t="str">
        <f>IF(คะแนนเก็บหลังกลางภาค!S34="","",คะแนนเก็บหลังกลางภาค!S34)</f>
        <v/>
      </c>
      <c r="AL31" t="str">
        <f>IF(คะแนนเก็บหลังกลางภาค!T34="","",คะแนนเก็บหลังกลางภาค!T34)</f>
        <v/>
      </c>
      <c r="AM31" t="str">
        <f>IF(คะแนนเก็บหลังกลางภาค!U34="","",คะแนนเก็บหลังกลางภาค!U34)</f>
        <v/>
      </c>
      <c r="AN31" t="str">
        <f>IF(คะแนนเก็บหลังกลางภาค!V34="","",คะแนนเก็บหลังกลางภาค!V34)</f>
        <v/>
      </c>
      <c r="AO31" t="str">
        <f>IF(คะแนนเก็บหลังกลางภาค!W34="","",คะแนนเก็บหลังกลางภาค!W34)</f>
        <v/>
      </c>
      <c r="AP31" t="str">
        <f>IF(คุณลักษณะอันพึงประสงค์!D34="","",คุณลักษณะอันพึงประสงค์!D34)</f>
        <v/>
      </c>
      <c r="AQ31" t="str">
        <f>IF(คุณลักษณะอันพึงประสงค์!E34="","",คุณลักษณะอันพึงประสงค์!E34)</f>
        <v/>
      </c>
      <c r="AR31" t="str">
        <f>IF(คุณลักษณะอันพึงประสงค์!F34="","",คุณลักษณะอันพึงประสงค์!F34)</f>
        <v/>
      </c>
      <c r="AS31" t="str">
        <f>IF(คุณลักษณะอันพึงประสงค์!G34="","",คุณลักษณะอันพึงประสงค์!G34)</f>
        <v/>
      </c>
      <c r="AT31" t="str">
        <f>IF(คุณลักษณะอันพึงประสงค์!H34="","",คุณลักษณะอันพึงประสงค์!H34)</f>
        <v/>
      </c>
      <c r="AU31" t="str">
        <f>IF(คุณลักษณะอันพึงประสงค์!I34="","",คุณลักษณะอันพึงประสงค์!I34)</f>
        <v/>
      </c>
      <c r="AV31" t="str">
        <f>IF(คุณลักษณะอันพึงประสงค์!J34="","",คุณลักษณะอันพึงประสงค์!J34)</f>
        <v/>
      </c>
      <c r="AW31" t="str">
        <f>IF(คุณลักษณะอันพึงประสงค์!K34="","",คุณลักษณะอันพึงประสงค์!K34)</f>
        <v/>
      </c>
      <c r="AX31" t="str">
        <f>IF(คุณลักษณะอันพึงประสงค์!L34="","",คุณลักษณะอันพึงประสงค์!L34)</f>
        <v/>
      </c>
      <c r="AY31" t="str">
        <f>IF(คุณลักษณะอันพึงประสงค์!M34="","",คุณลักษณะอันพึงประสงค์!M34)</f>
        <v/>
      </c>
      <c r="AZ31" t="str">
        <f>IF(กลางภาค!D34="","",กลางภาค!D34)</f>
        <v/>
      </c>
      <c r="BA31" t="str">
        <f>IF(กลางภาค!E34="","",กลางภาค!E34)</f>
        <v/>
      </c>
      <c r="BB31" t="str">
        <f>IF(กลางภาค!F34="","",กลางภาค!F34)</f>
        <v/>
      </c>
      <c r="BC31" t="str">
        <f>IF(กลางภาค!G34="","",กลางภาค!G34)</f>
        <v/>
      </c>
      <c r="BD31" t="str">
        <f>IF(กลางภาค!H34="","",กลางภาค!H34)</f>
        <v/>
      </c>
      <c r="BE31" t="str">
        <f>IF(กลางภาค!I34="","",กลางภาค!I34)</f>
        <v/>
      </c>
      <c r="BF31" t="str">
        <f>IF(กลางภาค!J34="","",กลางภาค!J34)</f>
        <v/>
      </c>
      <c r="BG31" t="str">
        <f>IF(กลางภาค!K34="","",กลางภาค!K34)</f>
        <v/>
      </c>
      <c r="BH31" t="str">
        <f>IF(กลางภาค!L34="","",กลางภาค!L34)</f>
        <v/>
      </c>
      <c r="BI31" t="str">
        <f>IF(กลางภาค!M34="","",กลางภาค!M34)</f>
        <v/>
      </c>
      <c r="BJ31" t="str">
        <f>IF(ปลายภาค!D34="","",ปลายภาค!D34)</f>
        <v/>
      </c>
      <c r="BK31" t="str">
        <f>IF(ปลายภาค!E34="","",ปลายภาค!E34)</f>
        <v/>
      </c>
      <c r="BL31" t="str">
        <f>IF(ปลายภาค!F34="","",ปลายภาค!F34)</f>
        <v/>
      </c>
      <c r="BM31" t="str">
        <f>IF(ปลายภาค!G34="","",ปลายภาค!G34)</f>
        <v/>
      </c>
      <c r="BN31" t="str">
        <f>IF(ปลายภาค!H34="","",ปลายภาค!H34)</f>
        <v/>
      </c>
      <c r="BO31" t="str">
        <f>IF(ปลายภาค!I34="","",ปลายภาค!I34)</f>
        <v/>
      </c>
      <c r="BP31" t="str">
        <f>IF(ปลายภาค!J34="","",ปลายภาค!J34)</f>
        <v/>
      </c>
      <c r="BQ31" t="str">
        <f>IF(ปลายภาค!K34="","",ปลายภาค!K34)</f>
        <v/>
      </c>
      <c r="BR31" t="str">
        <f>IF(ปลายภาค!L34="","",ปลายภาค!L34)</f>
        <v/>
      </c>
      <c r="BS31" t="str">
        <f>IF(ปลายภาค!M34="","",ปลายภาค!M34)</f>
        <v/>
      </c>
      <c r="BT31" t="str">
        <f>IF(กลางภาค!N34="","",กลางภาค!N34)</f>
        <v/>
      </c>
      <c r="BU31" t="str">
        <f>IF(ปลายภาค!N34="","",ปลายภาค!N34)</f>
        <v/>
      </c>
      <c r="BV31" t="str">
        <f>IF(คุณลักษณะอันพึงประสงค์!X34="","",คุณลักษณะอันพึงประสงค์!X34)</f>
        <v/>
      </c>
      <c r="BW31" t="str">
        <f>IF(อ่านคิดวิเคราะห์!I34="","",อ่านคิดวิเคราะห์!I34)</f>
        <v/>
      </c>
      <c r="BX31" t="str">
        <f>IF(สมรรถนะ!N34="","",สมรรถนะ!N34)</f>
        <v/>
      </c>
      <c r="BY31" t="str">
        <f>IF(อ่านคิดวิเคราะห์!D34="","",อ่านคิดวิเคราะห์!D34)</f>
        <v/>
      </c>
      <c r="BZ31" t="str">
        <f>IF(อ่านคิดวิเคราะห์!E34="","",อ่านคิดวิเคราะห์!E34)</f>
        <v/>
      </c>
      <c r="CA31" t="str">
        <f>IF(อ่านคิดวิเคราะห์!F34="","",อ่านคิดวิเคราะห์!F34)</f>
        <v/>
      </c>
      <c r="CB31" t="str">
        <f>IF(อ่านคิดวิเคราะห์!G34="","",อ่านคิดวิเคราะห์!G34)</f>
        <v/>
      </c>
      <c r="CC31" t="str">
        <f>IF(อ่านคิดวิเคราะห์!H34="","",อ่านคิดวิเคราะห์!H34)</f>
        <v/>
      </c>
      <c r="CD31" t="str">
        <f>IF(สมรรถนะ!D34="","",สมรรถนะ!D34)</f>
        <v/>
      </c>
      <c r="CE31" t="str">
        <f>IF(สมรรถนะ!E34="","",สมรรถนะ!E34)</f>
        <v/>
      </c>
      <c r="CF31" t="str">
        <f>IF(สมรรถนะ!F34="","",สมรรถนะ!F34)</f>
        <v/>
      </c>
      <c r="CG31" t="str">
        <f>IF(สมรรถนะ!G34="","",สมรรถนะ!G34)</f>
        <v/>
      </c>
      <c r="CH31" t="str">
        <f>IF(สมรรถนะ!H34="","",สมรรถนะ!H34)</f>
        <v/>
      </c>
      <c r="CI31" t="str">
        <f>IF(สมรรถนะ!I34="","",สมรรถนะ!I34)</f>
        <v/>
      </c>
      <c r="CJ31" t="str">
        <f>IF(สมรรถนะ!J34="","",สมรรถนะ!J34)</f>
        <v/>
      </c>
      <c r="CK31" t="str">
        <f>IF(สมรรถนะ!K34="","",สมรรถนะ!K34)</f>
        <v/>
      </c>
      <c r="CL31" t="str">
        <f>IF(สมรรถนะ!L34="","",สมรรถนะ!L34)</f>
        <v/>
      </c>
      <c r="CM31" t="str">
        <f>IF(สมรรถนะ!M34="","",สมรรถนะ!M34)</f>
        <v/>
      </c>
      <c r="CN31" t="str">
        <f>IF(คุณลักษณะอันพึงประสงค์!N34="","",คุณลักษณะอันพึงประสงค์!N34)</f>
        <v/>
      </c>
      <c r="CO31" t="str">
        <f>IF(คุณลักษณะอันพึงประสงค์!O34="","",คุณลักษณะอันพึงประสงค์!O34)</f>
        <v/>
      </c>
      <c r="CP31" t="str">
        <f>IF(คุณลักษณะอันพึงประสงค์!P34="","",คุณลักษณะอันพึงประสงค์!P34)</f>
        <v/>
      </c>
      <c r="CQ31" t="str">
        <f>IF(คุณลักษณะอันพึงประสงค์!Q34="","",คุณลักษณะอันพึงประสงค์!Q34)</f>
        <v/>
      </c>
      <c r="CR31" t="str">
        <f>IF(คุณลักษณะอันพึงประสงค์!R34="","",คุณลักษณะอันพึงประสงค์!R34)</f>
        <v/>
      </c>
      <c r="CS31" t="str">
        <f>IF(คุณลักษณะอันพึงประสงค์!S34="","",คุณลักษณะอันพึงประสงค์!S34)</f>
        <v/>
      </c>
      <c r="CT31" t="str">
        <f>IF(คุณลักษณะอันพึงประสงค์!T34="","",คุณลักษณะอันพึงประสงค์!T34)</f>
        <v/>
      </c>
      <c r="CU31" t="str">
        <f>IF(คุณลักษณะอันพึงประสงค์!U34="","",คุณลักษณะอันพึงประสงค์!U34)</f>
        <v/>
      </c>
      <c r="CV31" t="str">
        <f>IF(คุณลักษณะอันพึงประสงค์!V34="","",คุณลักษณะอันพึงประสงค์!V34)</f>
        <v/>
      </c>
      <c r="CW31" t="str">
        <f>IF(คุณลักษณะอันพึงประสงค์!W34="","",คุณลักษณะอันพึงประสงค์!W34)</f>
        <v/>
      </c>
    </row>
    <row r="32" spans="1:101">
      <c r="A32" t="str">
        <f>IF(คะแนนเก็บ!B35="","",คะแนนเก็บ!B35)</f>
        <v/>
      </c>
      <c r="B32" t="str">
        <f>IF(คะแนนเก็บ!D35="","",คะแนนเก็บ!D35)</f>
        <v/>
      </c>
      <c r="C32" t="str">
        <f>IF(คะแนนเก็บ!E35="","",คะแนนเก็บ!E35)</f>
        <v/>
      </c>
      <c r="D32" t="str">
        <f>IF(คะแนนเก็บ!F35="","",คะแนนเก็บ!F35)</f>
        <v/>
      </c>
      <c r="E32" t="str">
        <f>IF(คะแนนเก็บ!G35="","",คะแนนเก็บ!G35)</f>
        <v/>
      </c>
      <c r="F32" t="str">
        <f>IF(คะแนนเก็บ!H35="","",คะแนนเก็บ!H35)</f>
        <v/>
      </c>
      <c r="G32" t="str">
        <f>IF(คะแนนเก็บ!I35="","",คะแนนเก็บ!I35)</f>
        <v/>
      </c>
      <c r="H32" t="str">
        <f>IF(คะแนนเก็บ!J35="","",คะแนนเก็บ!J35)</f>
        <v/>
      </c>
      <c r="I32" t="str">
        <f>IF(คะแนนเก็บ!K35="","",คะแนนเก็บ!K35)</f>
        <v/>
      </c>
      <c r="J32" t="str">
        <f>IF(คะแนนเก็บ!L35="","",คะแนนเก็บ!L35)</f>
        <v/>
      </c>
      <c r="K32" t="str">
        <f>IF(คะแนนเก็บ!M35="","",คะแนนเก็บ!M35)</f>
        <v/>
      </c>
      <c r="L32" t="str">
        <f>IF(คะแนนเก็บ!N35="","",คะแนนเก็บ!N35)</f>
        <v/>
      </c>
      <c r="M32" t="str">
        <f>IF(คะแนนเก็บ!O35="","",คะแนนเก็บ!O35)</f>
        <v/>
      </c>
      <c r="N32" t="str">
        <f>IF(คะแนนเก็บ!P35="","",คะแนนเก็บ!P35)</f>
        <v/>
      </c>
      <c r="O32" t="str">
        <f>IF(คะแนนเก็บ!Q35="","",คะแนนเก็บ!Q35)</f>
        <v/>
      </c>
      <c r="P32" t="str">
        <f>IF(คะแนนเก็บ!R35="","",คะแนนเก็บ!R35)</f>
        <v/>
      </c>
      <c r="Q32" t="str">
        <f>IF(คะแนนเก็บ!S35="","",คะแนนเก็บ!S35)</f>
        <v/>
      </c>
      <c r="R32" t="str">
        <f>IF(คะแนนเก็บ!T35="","",คะแนนเก็บ!T35)</f>
        <v/>
      </c>
      <c r="S32" t="str">
        <f>IF(คะแนนเก็บ!U35="","",คะแนนเก็บ!U35)</f>
        <v/>
      </c>
      <c r="T32" t="str">
        <f>IF(คะแนนเก็บ!V35="","",คะแนนเก็บ!V35)</f>
        <v/>
      </c>
      <c r="U32" t="str">
        <f>IF(คะแนนเก็บ!W35="","",คะแนนเก็บ!W35)</f>
        <v/>
      </c>
      <c r="V32" t="str">
        <f>IF(คะแนนเก็บหลังกลางภาค!D35="","",คะแนนเก็บหลังกลางภาค!D35)</f>
        <v/>
      </c>
      <c r="W32" t="str">
        <f>IF(คะแนนเก็บหลังกลางภาค!E35="","",คะแนนเก็บหลังกลางภาค!E35)</f>
        <v/>
      </c>
      <c r="X32" t="str">
        <f>IF(คะแนนเก็บหลังกลางภาค!F35="","",คะแนนเก็บหลังกลางภาค!F35)</f>
        <v/>
      </c>
      <c r="Y32" t="str">
        <f>IF(คะแนนเก็บหลังกลางภาค!G35="","",คะแนนเก็บหลังกลางภาค!G35)</f>
        <v/>
      </c>
      <c r="Z32" t="str">
        <f>IF(คะแนนเก็บหลังกลางภาค!H35="","",คะแนนเก็บหลังกลางภาค!H35)</f>
        <v/>
      </c>
      <c r="AA32" t="str">
        <f>IF(คะแนนเก็บหลังกลางภาค!I35="","",คะแนนเก็บหลังกลางภาค!I35)</f>
        <v/>
      </c>
      <c r="AB32" t="str">
        <f>IF(คะแนนเก็บหลังกลางภาค!J35="","",คะแนนเก็บหลังกลางภาค!J35)</f>
        <v/>
      </c>
      <c r="AC32" t="str">
        <f>IF(คะแนนเก็บหลังกลางภาค!K35="","",คะแนนเก็บหลังกลางภาค!K35)</f>
        <v/>
      </c>
      <c r="AD32" t="str">
        <f>IF(คะแนนเก็บหลังกลางภาค!L35="","",คะแนนเก็บหลังกลางภาค!L35)</f>
        <v/>
      </c>
      <c r="AE32" t="str">
        <f>IF(คะแนนเก็บหลังกลางภาค!M35="","",คะแนนเก็บหลังกลางภาค!M35)</f>
        <v/>
      </c>
      <c r="AF32" t="str">
        <f>IF(คะแนนเก็บหลังกลางภาค!N35="","",คะแนนเก็บหลังกลางภาค!N35)</f>
        <v/>
      </c>
      <c r="AG32" t="str">
        <f>IF(คะแนนเก็บหลังกลางภาค!O35="","",คะแนนเก็บหลังกลางภาค!O35)</f>
        <v/>
      </c>
      <c r="AH32" t="str">
        <f>IF(คะแนนเก็บหลังกลางภาค!P35="","",คะแนนเก็บหลังกลางภาค!P35)</f>
        <v/>
      </c>
      <c r="AI32" t="str">
        <f>IF(คะแนนเก็บหลังกลางภาค!Q35="","",คะแนนเก็บหลังกลางภาค!Q35)</f>
        <v/>
      </c>
      <c r="AJ32" t="str">
        <f>IF(คะแนนเก็บหลังกลางภาค!R35="","",คะแนนเก็บหลังกลางภาค!R35)</f>
        <v/>
      </c>
      <c r="AK32" t="str">
        <f>IF(คะแนนเก็บหลังกลางภาค!S35="","",คะแนนเก็บหลังกลางภาค!S35)</f>
        <v/>
      </c>
      <c r="AL32" t="str">
        <f>IF(คะแนนเก็บหลังกลางภาค!T35="","",คะแนนเก็บหลังกลางภาค!T35)</f>
        <v/>
      </c>
      <c r="AM32" t="str">
        <f>IF(คะแนนเก็บหลังกลางภาค!U35="","",คะแนนเก็บหลังกลางภาค!U35)</f>
        <v/>
      </c>
      <c r="AN32" t="str">
        <f>IF(คะแนนเก็บหลังกลางภาค!V35="","",คะแนนเก็บหลังกลางภาค!V35)</f>
        <v/>
      </c>
      <c r="AO32" t="str">
        <f>IF(คะแนนเก็บหลังกลางภาค!W35="","",คะแนนเก็บหลังกลางภาค!W35)</f>
        <v/>
      </c>
      <c r="AP32" t="str">
        <f>IF(คุณลักษณะอันพึงประสงค์!D35="","",คุณลักษณะอันพึงประสงค์!D35)</f>
        <v/>
      </c>
      <c r="AQ32" t="str">
        <f>IF(คุณลักษณะอันพึงประสงค์!E35="","",คุณลักษณะอันพึงประสงค์!E35)</f>
        <v/>
      </c>
      <c r="AR32" t="str">
        <f>IF(คุณลักษณะอันพึงประสงค์!F35="","",คุณลักษณะอันพึงประสงค์!F35)</f>
        <v/>
      </c>
      <c r="AS32" t="str">
        <f>IF(คุณลักษณะอันพึงประสงค์!G35="","",คุณลักษณะอันพึงประสงค์!G35)</f>
        <v/>
      </c>
      <c r="AT32" t="str">
        <f>IF(คุณลักษณะอันพึงประสงค์!H35="","",คุณลักษณะอันพึงประสงค์!H35)</f>
        <v/>
      </c>
      <c r="AU32" t="str">
        <f>IF(คุณลักษณะอันพึงประสงค์!I35="","",คุณลักษณะอันพึงประสงค์!I35)</f>
        <v/>
      </c>
      <c r="AV32" t="str">
        <f>IF(คุณลักษณะอันพึงประสงค์!J35="","",คุณลักษณะอันพึงประสงค์!J35)</f>
        <v/>
      </c>
      <c r="AW32" t="str">
        <f>IF(คุณลักษณะอันพึงประสงค์!K35="","",คุณลักษณะอันพึงประสงค์!K35)</f>
        <v/>
      </c>
      <c r="AX32" t="str">
        <f>IF(คุณลักษณะอันพึงประสงค์!L35="","",คุณลักษณะอันพึงประสงค์!L35)</f>
        <v/>
      </c>
      <c r="AY32" t="str">
        <f>IF(คุณลักษณะอันพึงประสงค์!M35="","",คุณลักษณะอันพึงประสงค์!M35)</f>
        <v/>
      </c>
      <c r="AZ32" t="str">
        <f>IF(กลางภาค!D35="","",กลางภาค!D35)</f>
        <v/>
      </c>
      <c r="BA32" t="str">
        <f>IF(กลางภาค!E35="","",กลางภาค!E35)</f>
        <v/>
      </c>
      <c r="BB32" t="str">
        <f>IF(กลางภาค!F35="","",กลางภาค!F35)</f>
        <v/>
      </c>
      <c r="BC32" t="str">
        <f>IF(กลางภาค!G35="","",กลางภาค!G35)</f>
        <v/>
      </c>
      <c r="BD32" t="str">
        <f>IF(กลางภาค!H35="","",กลางภาค!H35)</f>
        <v/>
      </c>
      <c r="BE32" t="str">
        <f>IF(กลางภาค!I35="","",กลางภาค!I35)</f>
        <v/>
      </c>
      <c r="BF32" t="str">
        <f>IF(กลางภาค!J35="","",กลางภาค!J35)</f>
        <v/>
      </c>
      <c r="BG32" t="str">
        <f>IF(กลางภาค!K35="","",กลางภาค!K35)</f>
        <v/>
      </c>
      <c r="BH32" t="str">
        <f>IF(กลางภาค!L35="","",กลางภาค!L35)</f>
        <v/>
      </c>
      <c r="BI32" t="str">
        <f>IF(กลางภาค!M35="","",กลางภาค!M35)</f>
        <v/>
      </c>
      <c r="BJ32" t="str">
        <f>IF(ปลายภาค!D35="","",ปลายภาค!D35)</f>
        <v/>
      </c>
      <c r="BK32" t="str">
        <f>IF(ปลายภาค!E35="","",ปลายภาค!E35)</f>
        <v/>
      </c>
      <c r="BL32" t="str">
        <f>IF(ปลายภาค!F35="","",ปลายภาค!F35)</f>
        <v/>
      </c>
      <c r="BM32" t="str">
        <f>IF(ปลายภาค!G35="","",ปลายภาค!G35)</f>
        <v/>
      </c>
      <c r="BN32" t="str">
        <f>IF(ปลายภาค!H35="","",ปลายภาค!H35)</f>
        <v/>
      </c>
      <c r="BO32" t="str">
        <f>IF(ปลายภาค!I35="","",ปลายภาค!I35)</f>
        <v/>
      </c>
      <c r="BP32" t="str">
        <f>IF(ปลายภาค!J35="","",ปลายภาค!J35)</f>
        <v/>
      </c>
      <c r="BQ32" t="str">
        <f>IF(ปลายภาค!K35="","",ปลายภาค!K35)</f>
        <v/>
      </c>
      <c r="BR32" t="str">
        <f>IF(ปลายภาค!L35="","",ปลายภาค!L35)</f>
        <v/>
      </c>
      <c r="BS32" t="str">
        <f>IF(ปลายภาค!M35="","",ปลายภาค!M35)</f>
        <v/>
      </c>
      <c r="BT32" t="str">
        <f>IF(กลางภาค!N35="","",กลางภาค!N35)</f>
        <v/>
      </c>
      <c r="BU32" t="str">
        <f>IF(ปลายภาค!N35="","",ปลายภาค!N35)</f>
        <v/>
      </c>
      <c r="BV32" t="str">
        <f>IF(คุณลักษณะอันพึงประสงค์!X35="","",คุณลักษณะอันพึงประสงค์!X35)</f>
        <v/>
      </c>
      <c r="BW32" t="str">
        <f>IF(อ่านคิดวิเคราะห์!I35="","",อ่านคิดวิเคราะห์!I35)</f>
        <v/>
      </c>
      <c r="BX32" t="str">
        <f>IF(สมรรถนะ!N35="","",สมรรถนะ!N35)</f>
        <v/>
      </c>
      <c r="BY32" t="str">
        <f>IF(อ่านคิดวิเคราะห์!D35="","",อ่านคิดวิเคราะห์!D35)</f>
        <v/>
      </c>
      <c r="BZ32" t="str">
        <f>IF(อ่านคิดวิเคราะห์!E35="","",อ่านคิดวิเคราะห์!E35)</f>
        <v/>
      </c>
      <c r="CA32" t="str">
        <f>IF(อ่านคิดวิเคราะห์!F35="","",อ่านคิดวิเคราะห์!F35)</f>
        <v/>
      </c>
      <c r="CB32" t="str">
        <f>IF(อ่านคิดวิเคราะห์!G35="","",อ่านคิดวิเคราะห์!G35)</f>
        <v/>
      </c>
      <c r="CC32" t="str">
        <f>IF(อ่านคิดวิเคราะห์!H35="","",อ่านคิดวิเคราะห์!H35)</f>
        <v/>
      </c>
      <c r="CD32" t="str">
        <f>IF(สมรรถนะ!D35="","",สมรรถนะ!D35)</f>
        <v/>
      </c>
      <c r="CE32" t="str">
        <f>IF(สมรรถนะ!E35="","",สมรรถนะ!E35)</f>
        <v/>
      </c>
      <c r="CF32" t="str">
        <f>IF(สมรรถนะ!F35="","",สมรรถนะ!F35)</f>
        <v/>
      </c>
      <c r="CG32" t="str">
        <f>IF(สมรรถนะ!G35="","",สมรรถนะ!G35)</f>
        <v/>
      </c>
      <c r="CH32" t="str">
        <f>IF(สมรรถนะ!H35="","",สมรรถนะ!H35)</f>
        <v/>
      </c>
      <c r="CI32" t="str">
        <f>IF(สมรรถนะ!I35="","",สมรรถนะ!I35)</f>
        <v/>
      </c>
      <c r="CJ32" t="str">
        <f>IF(สมรรถนะ!J35="","",สมรรถนะ!J35)</f>
        <v/>
      </c>
      <c r="CK32" t="str">
        <f>IF(สมรรถนะ!K35="","",สมรรถนะ!K35)</f>
        <v/>
      </c>
      <c r="CL32" t="str">
        <f>IF(สมรรถนะ!L35="","",สมรรถนะ!L35)</f>
        <v/>
      </c>
      <c r="CM32" t="str">
        <f>IF(สมรรถนะ!M35="","",สมรรถนะ!M35)</f>
        <v/>
      </c>
      <c r="CN32" t="str">
        <f>IF(คุณลักษณะอันพึงประสงค์!N35="","",คุณลักษณะอันพึงประสงค์!N35)</f>
        <v/>
      </c>
      <c r="CO32" t="str">
        <f>IF(คุณลักษณะอันพึงประสงค์!O35="","",คุณลักษณะอันพึงประสงค์!O35)</f>
        <v/>
      </c>
      <c r="CP32" t="str">
        <f>IF(คุณลักษณะอันพึงประสงค์!P35="","",คุณลักษณะอันพึงประสงค์!P35)</f>
        <v/>
      </c>
      <c r="CQ32" t="str">
        <f>IF(คุณลักษณะอันพึงประสงค์!Q35="","",คุณลักษณะอันพึงประสงค์!Q35)</f>
        <v/>
      </c>
      <c r="CR32" t="str">
        <f>IF(คุณลักษณะอันพึงประสงค์!R35="","",คุณลักษณะอันพึงประสงค์!R35)</f>
        <v/>
      </c>
      <c r="CS32" t="str">
        <f>IF(คุณลักษณะอันพึงประสงค์!S35="","",คุณลักษณะอันพึงประสงค์!S35)</f>
        <v/>
      </c>
      <c r="CT32" t="str">
        <f>IF(คุณลักษณะอันพึงประสงค์!T35="","",คุณลักษณะอันพึงประสงค์!T35)</f>
        <v/>
      </c>
      <c r="CU32" t="str">
        <f>IF(คุณลักษณะอันพึงประสงค์!U35="","",คุณลักษณะอันพึงประสงค์!U35)</f>
        <v/>
      </c>
      <c r="CV32" t="str">
        <f>IF(คุณลักษณะอันพึงประสงค์!V35="","",คุณลักษณะอันพึงประสงค์!V35)</f>
        <v/>
      </c>
      <c r="CW32" t="str">
        <f>IF(คุณลักษณะอันพึงประสงค์!W35="","",คุณลักษณะอันพึงประสงค์!W35)</f>
        <v/>
      </c>
    </row>
    <row r="33" spans="1:101">
      <c r="A33" t="str">
        <f>IF(คะแนนเก็บ!B36="","",คะแนนเก็บ!B36)</f>
        <v/>
      </c>
      <c r="B33" t="str">
        <f>IF(คะแนนเก็บ!D36="","",คะแนนเก็บ!D36)</f>
        <v/>
      </c>
      <c r="C33" t="str">
        <f>IF(คะแนนเก็บ!E36="","",คะแนนเก็บ!E36)</f>
        <v/>
      </c>
      <c r="D33" t="str">
        <f>IF(คะแนนเก็บ!F36="","",คะแนนเก็บ!F36)</f>
        <v/>
      </c>
      <c r="E33" t="str">
        <f>IF(คะแนนเก็บ!G36="","",คะแนนเก็บ!G36)</f>
        <v/>
      </c>
      <c r="F33" t="str">
        <f>IF(คะแนนเก็บ!H36="","",คะแนนเก็บ!H36)</f>
        <v/>
      </c>
      <c r="G33" t="str">
        <f>IF(คะแนนเก็บ!I36="","",คะแนนเก็บ!I36)</f>
        <v/>
      </c>
      <c r="H33" t="str">
        <f>IF(คะแนนเก็บ!J36="","",คะแนนเก็บ!J36)</f>
        <v/>
      </c>
      <c r="I33" t="str">
        <f>IF(คะแนนเก็บ!K36="","",คะแนนเก็บ!K36)</f>
        <v/>
      </c>
      <c r="J33" t="str">
        <f>IF(คะแนนเก็บ!L36="","",คะแนนเก็บ!L36)</f>
        <v/>
      </c>
      <c r="K33" t="str">
        <f>IF(คะแนนเก็บ!M36="","",คะแนนเก็บ!M36)</f>
        <v/>
      </c>
      <c r="L33" t="str">
        <f>IF(คะแนนเก็บ!N36="","",คะแนนเก็บ!N36)</f>
        <v/>
      </c>
      <c r="M33" t="str">
        <f>IF(คะแนนเก็บ!O36="","",คะแนนเก็บ!O36)</f>
        <v/>
      </c>
      <c r="N33" t="str">
        <f>IF(คะแนนเก็บ!P36="","",คะแนนเก็บ!P36)</f>
        <v/>
      </c>
      <c r="O33" t="str">
        <f>IF(คะแนนเก็บ!Q36="","",คะแนนเก็บ!Q36)</f>
        <v/>
      </c>
      <c r="P33" t="str">
        <f>IF(คะแนนเก็บ!R36="","",คะแนนเก็บ!R36)</f>
        <v/>
      </c>
      <c r="Q33" t="str">
        <f>IF(คะแนนเก็บ!S36="","",คะแนนเก็บ!S36)</f>
        <v/>
      </c>
      <c r="R33" t="str">
        <f>IF(คะแนนเก็บ!T36="","",คะแนนเก็บ!T36)</f>
        <v/>
      </c>
      <c r="S33" t="str">
        <f>IF(คะแนนเก็บ!U36="","",คะแนนเก็บ!U36)</f>
        <v/>
      </c>
      <c r="T33" t="str">
        <f>IF(คะแนนเก็บ!V36="","",คะแนนเก็บ!V36)</f>
        <v/>
      </c>
      <c r="U33" t="str">
        <f>IF(คะแนนเก็บ!W36="","",คะแนนเก็บ!W36)</f>
        <v/>
      </c>
      <c r="V33" t="str">
        <f>IF(คะแนนเก็บหลังกลางภาค!D36="","",คะแนนเก็บหลังกลางภาค!D36)</f>
        <v/>
      </c>
      <c r="W33" t="str">
        <f>IF(คะแนนเก็บหลังกลางภาค!E36="","",คะแนนเก็บหลังกลางภาค!E36)</f>
        <v/>
      </c>
      <c r="X33" t="str">
        <f>IF(คะแนนเก็บหลังกลางภาค!F36="","",คะแนนเก็บหลังกลางภาค!F36)</f>
        <v/>
      </c>
      <c r="Y33" t="str">
        <f>IF(คะแนนเก็บหลังกลางภาค!G36="","",คะแนนเก็บหลังกลางภาค!G36)</f>
        <v/>
      </c>
      <c r="Z33" t="str">
        <f>IF(คะแนนเก็บหลังกลางภาค!H36="","",คะแนนเก็บหลังกลางภาค!H36)</f>
        <v/>
      </c>
      <c r="AA33" t="str">
        <f>IF(คะแนนเก็บหลังกลางภาค!I36="","",คะแนนเก็บหลังกลางภาค!I36)</f>
        <v/>
      </c>
      <c r="AB33" t="str">
        <f>IF(คะแนนเก็บหลังกลางภาค!J36="","",คะแนนเก็บหลังกลางภาค!J36)</f>
        <v/>
      </c>
      <c r="AC33" t="str">
        <f>IF(คะแนนเก็บหลังกลางภาค!K36="","",คะแนนเก็บหลังกลางภาค!K36)</f>
        <v/>
      </c>
      <c r="AD33" t="str">
        <f>IF(คะแนนเก็บหลังกลางภาค!L36="","",คะแนนเก็บหลังกลางภาค!L36)</f>
        <v/>
      </c>
      <c r="AE33" t="str">
        <f>IF(คะแนนเก็บหลังกลางภาค!M36="","",คะแนนเก็บหลังกลางภาค!M36)</f>
        <v/>
      </c>
      <c r="AF33" t="str">
        <f>IF(คะแนนเก็บหลังกลางภาค!N36="","",คะแนนเก็บหลังกลางภาค!N36)</f>
        <v/>
      </c>
      <c r="AG33" t="str">
        <f>IF(คะแนนเก็บหลังกลางภาค!O36="","",คะแนนเก็บหลังกลางภาค!O36)</f>
        <v/>
      </c>
      <c r="AH33" t="str">
        <f>IF(คะแนนเก็บหลังกลางภาค!P36="","",คะแนนเก็บหลังกลางภาค!P36)</f>
        <v/>
      </c>
      <c r="AI33" t="str">
        <f>IF(คะแนนเก็บหลังกลางภาค!Q36="","",คะแนนเก็บหลังกลางภาค!Q36)</f>
        <v/>
      </c>
      <c r="AJ33" t="str">
        <f>IF(คะแนนเก็บหลังกลางภาค!R36="","",คะแนนเก็บหลังกลางภาค!R36)</f>
        <v/>
      </c>
      <c r="AK33" t="str">
        <f>IF(คะแนนเก็บหลังกลางภาค!S36="","",คะแนนเก็บหลังกลางภาค!S36)</f>
        <v/>
      </c>
      <c r="AL33" t="str">
        <f>IF(คะแนนเก็บหลังกลางภาค!T36="","",คะแนนเก็บหลังกลางภาค!T36)</f>
        <v/>
      </c>
      <c r="AM33" t="str">
        <f>IF(คะแนนเก็บหลังกลางภาค!U36="","",คะแนนเก็บหลังกลางภาค!U36)</f>
        <v/>
      </c>
      <c r="AN33" t="str">
        <f>IF(คะแนนเก็บหลังกลางภาค!V36="","",คะแนนเก็บหลังกลางภาค!V36)</f>
        <v/>
      </c>
      <c r="AO33" t="str">
        <f>IF(คะแนนเก็บหลังกลางภาค!W36="","",คะแนนเก็บหลังกลางภาค!W36)</f>
        <v/>
      </c>
      <c r="AP33" t="str">
        <f>IF(คุณลักษณะอันพึงประสงค์!D36="","",คุณลักษณะอันพึงประสงค์!D36)</f>
        <v/>
      </c>
      <c r="AQ33" t="str">
        <f>IF(คุณลักษณะอันพึงประสงค์!E36="","",คุณลักษณะอันพึงประสงค์!E36)</f>
        <v/>
      </c>
      <c r="AR33" t="str">
        <f>IF(คุณลักษณะอันพึงประสงค์!F36="","",คุณลักษณะอันพึงประสงค์!F36)</f>
        <v/>
      </c>
      <c r="AS33" t="str">
        <f>IF(คุณลักษณะอันพึงประสงค์!G36="","",คุณลักษณะอันพึงประสงค์!G36)</f>
        <v/>
      </c>
      <c r="AT33" t="str">
        <f>IF(คุณลักษณะอันพึงประสงค์!H36="","",คุณลักษณะอันพึงประสงค์!H36)</f>
        <v/>
      </c>
      <c r="AU33" t="str">
        <f>IF(คุณลักษณะอันพึงประสงค์!I36="","",คุณลักษณะอันพึงประสงค์!I36)</f>
        <v/>
      </c>
      <c r="AV33" t="str">
        <f>IF(คุณลักษณะอันพึงประสงค์!J36="","",คุณลักษณะอันพึงประสงค์!J36)</f>
        <v/>
      </c>
      <c r="AW33" t="str">
        <f>IF(คุณลักษณะอันพึงประสงค์!K36="","",คุณลักษณะอันพึงประสงค์!K36)</f>
        <v/>
      </c>
      <c r="AX33" t="str">
        <f>IF(คุณลักษณะอันพึงประสงค์!L36="","",คุณลักษณะอันพึงประสงค์!L36)</f>
        <v/>
      </c>
      <c r="AY33" t="str">
        <f>IF(คุณลักษณะอันพึงประสงค์!M36="","",คุณลักษณะอันพึงประสงค์!M36)</f>
        <v/>
      </c>
      <c r="AZ33" t="str">
        <f>IF(กลางภาค!D36="","",กลางภาค!D36)</f>
        <v/>
      </c>
      <c r="BA33" t="str">
        <f>IF(กลางภาค!E36="","",กลางภาค!E36)</f>
        <v/>
      </c>
      <c r="BB33" t="str">
        <f>IF(กลางภาค!F36="","",กลางภาค!F36)</f>
        <v/>
      </c>
      <c r="BC33" t="str">
        <f>IF(กลางภาค!G36="","",กลางภาค!G36)</f>
        <v/>
      </c>
      <c r="BD33" t="str">
        <f>IF(กลางภาค!H36="","",กลางภาค!H36)</f>
        <v/>
      </c>
      <c r="BE33" t="str">
        <f>IF(กลางภาค!I36="","",กลางภาค!I36)</f>
        <v/>
      </c>
      <c r="BF33" t="str">
        <f>IF(กลางภาค!J36="","",กลางภาค!J36)</f>
        <v/>
      </c>
      <c r="BG33" t="str">
        <f>IF(กลางภาค!K36="","",กลางภาค!K36)</f>
        <v/>
      </c>
      <c r="BH33" t="str">
        <f>IF(กลางภาค!L36="","",กลางภาค!L36)</f>
        <v/>
      </c>
      <c r="BI33" t="str">
        <f>IF(กลางภาค!M36="","",กลางภาค!M36)</f>
        <v/>
      </c>
      <c r="BJ33" t="str">
        <f>IF(ปลายภาค!D36="","",ปลายภาค!D36)</f>
        <v/>
      </c>
      <c r="BK33" t="str">
        <f>IF(ปลายภาค!E36="","",ปลายภาค!E36)</f>
        <v/>
      </c>
      <c r="BL33" t="str">
        <f>IF(ปลายภาค!F36="","",ปลายภาค!F36)</f>
        <v/>
      </c>
      <c r="BM33" t="str">
        <f>IF(ปลายภาค!G36="","",ปลายภาค!G36)</f>
        <v/>
      </c>
      <c r="BN33" t="str">
        <f>IF(ปลายภาค!H36="","",ปลายภาค!H36)</f>
        <v/>
      </c>
      <c r="BO33" t="str">
        <f>IF(ปลายภาค!I36="","",ปลายภาค!I36)</f>
        <v/>
      </c>
      <c r="BP33" t="str">
        <f>IF(ปลายภาค!J36="","",ปลายภาค!J36)</f>
        <v/>
      </c>
      <c r="BQ33" t="str">
        <f>IF(ปลายภาค!K36="","",ปลายภาค!K36)</f>
        <v/>
      </c>
      <c r="BR33" t="str">
        <f>IF(ปลายภาค!L36="","",ปลายภาค!L36)</f>
        <v/>
      </c>
      <c r="BS33" t="str">
        <f>IF(ปลายภาค!M36="","",ปลายภาค!M36)</f>
        <v/>
      </c>
      <c r="BT33" t="str">
        <f>IF(กลางภาค!N36="","",กลางภาค!N36)</f>
        <v/>
      </c>
      <c r="BU33" t="str">
        <f>IF(ปลายภาค!N36="","",ปลายภาค!N36)</f>
        <v/>
      </c>
      <c r="BV33" t="str">
        <f>IF(คุณลักษณะอันพึงประสงค์!X36="","",คุณลักษณะอันพึงประสงค์!X36)</f>
        <v/>
      </c>
      <c r="BW33" t="str">
        <f>IF(อ่านคิดวิเคราะห์!I36="","",อ่านคิดวิเคราะห์!I36)</f>
        <v/>
      </c>
      <c r="BX33" t="str">
        <f>IF(สมรรถนะ!N36="","",สมรรถนะ!N36)</f>
        <v/>
      </c>
      <c r="BY33" t="str">
        <f>IF(อ่านคิดวิเคราะห์!D36="","",อ่านคิดวิเคราะห์!D36)</f>
        <v/>
      </c>
      <c r="BZ33" t="str">
        <f>IF(อ่านคิดวิเคราะห์!E36="","",อ่านคิดวิเคราะห์!E36)</f>
        <v/>
      </c>
      <c r="CA33" t="str">
        <f>IF(อ่านคิดวิเคราะห์!F36="","",อ่านคิดวิเคราะห์!F36)</f>
        <v/>
      </c>
      <c r="CB33" t="str">
        <f>IF(อ่านคิดวิเคราะห์!G36="","",อ่านคิดวิเคราะห์!G36)</f>
        <v/>
      </c>
      <c r="CC33" t="str">
        <f>IF(อ่านคิดวิเคราะห์!H36="","",อ่านคิดวิเคราะห์!H36)</f>
        <v/>
      </c>
      <c r="CD33" t="str">
        <f>IF(สมรรถนะ!D36="","",สมรรถนะ!D36)</f>
        <v/>
      </c>
      <c r="CE33" t="str">
        <f>IF(สมรรถนะ!E36="","",สมรรถนะ!E36)</f>
        <v/>
      </c>
      <c r="CF33" t="str">
        <f>IF(สมรรถนะ!F36="","",สมรรถนะ!F36)</f>
        <v/>
      </c>
      <c r="CG33" t="str">
        <f>IF(สมรรถนะ!G36="","",สมรรถนะ!G36)</f>
        <v/>
      </c>
      <c r="CH33" t="str">
        <f>IF(สมรรถนะ!H36="","",สมรรถนะ!H36)</f>
        <v/>
      </c>
      <c r="CI33" t="str">
        <f>IF(สมรรถนะ!I36="","",สมรรถนะ!I36)</f>
        <v/>
      </c>
      <c r="CJ33" t="str">
        <f>IF(สมรรถนะ!J36="","",สมรรถนะ!J36)</f>
        <v/>
      </c>
      <c r="CK33" t="str">
        <f>IF(สมรรถนะ!K36="","",สมรรถนะ!K36)</f>
        <v/>
      </c>
      <c r="CL33" t="str">
        <f>IF(สมรรถนะ!L36="","",สมรรถนะ!L36)</f>
        <v/>
      </c>
      <c r="CM33" t="str">
        <f>IF(สมรรถนะ!M36="","",สมรรถนะ!M36)</f>
        <v/>
      </c>
      <c r="CN33" t="str">
        <f>IF(คุณลักษณะอันพึงประสงค์!N36="","",คุณลักษณะอันพึงประสงค์!N36)</f>
        <v/>
      </c>
      <c r="CO33" t="str">
        <f>IF(คุณลักษณะอันพึงประสงค์!O36="","",คุณลักษณะอันพึงประสงค์!O36)</f>
        <v/>
      </c>
      <c r="CP33" t="str">
        <f>IF(คุณลักษณะอันพึงประสงค์!P36="","",คุณลักษณะอันพึงประสงค์!P36)</f>
        <v/>
      </c>
      <c r="CQ33" t="str">
        <f>IF(คุณลักษณะอันพึงประสงค์!Q36="","",คุณลักษณะอันพึงประสงค์!Q36)</f>
        <v/>
      </c>
      <c r="CR33" t="str">
        <f>IF(คุณลักษณะอันพึงประสงค์!R36="","",คุณลักษณะอันพึงประสงค์!R36)</f>
        <v/>
      </c>
      <c r="CS33" t="str">
        <f>IF(คุณลักษณะอันพึงประสงค์!S36="","",คุณลักษณะอันพึงประสงค์!S36)</f>
        <v/>
      </c>
      <c r="CT33" t="str">
        <f>IF(คุณลักษณะอันพึงประสงค์!T36="","",คุณลักษณะอันพึงประสงค์!T36)</f>
        <v/>
      </c>
      <c r="CU33" t="str">
        <f>IF(คุณลักษณะอันพึงประสงค์!U36="","",คุณลักษณะอันพึงประสงค์!U36)</f>
        <v/>
      </c>
      <c r="CV33" t="str">
        <f>IF(คุณลักษณะอันพึงประสงค์!V36="","",คุณลักษณะอันพึงประสงค์!V36)</f>
        <v/>
      </c>
      <c r="CW33" t="str">
        <f>IF(คุณลักษณะอันพึงประสงค์!W36="","",คุณลักษณะอันพึงประสงค์!W36)</f>
        <v/>
      </c>
    </row>
    <row r="34" spans="1:101">
      <c r="A34" t="str">
        <f>IF(คะแนนเก็บ!B37="","",คะแนนเก็บ!B37)</f>
        <v/>
      </c>
      <c r="B34" t="str">
        <f>IF(คะแนนเก็บ!D37="","",คะแนนเก็บ!D37)</f>
        <v/>
      </c>
      <c r="C34" t="str">
        <f>IF(คะแนนเก็บ!E37="","",คะแนนเก็บ!E37)</f>
        <v/>
      </c>
      <c r="D34" t="str">
        <f>IF(คะแนนเก็บ!F37="","",คะแนนเก็บ!F37)</f>
        <v/>
      </c>
      <c r="E34" t="str">
        <f>IF(คะแนนเก็บ!G37="","",คะแนนเก็บ!G37)</f>
        <v/>
      </c>
      <c r="F34" t="str">
        <f>IF(คะแนนเก็บ!H37="","",คะแนนเก็บ!H37)</f>
        <v/>
      </c>
      <c r="G34" t="str">
        <f>IF(คะแนนเก็บ!I37="","",คะแนนเก็บ!I37)</f>
        <v/>
      </c>
      <c r="H34" t="str">
        <f>IF(คะแนนเก็บ!J37="","",คะแนนเก็บ!J37)</f>
        <v/>
      </c>
      <c r="I34" t="str">
        <f>IF(คะแนนเก็บ!K37="","",คะแนนเก็บ!K37)</f>
        <v/>
      </c>
      <c r="J34" t="str">
        <f>IF(คะแนนเก็บ!L37="","",คะแนนเก็บ!L37)</f>
        <v/>
      </c>
      <c r="K34" t="str">
        <f>IF(คะแนนเก็บ!M37="","",คะแนนเก็บ!M37)</f>
        <v/>
      </c>
      <c r="L34" t="str">
        <f>IF(คะแนนเก็บ!N37="","",คะแนนเก็บ!N37)</f>
        <v/>
      </c>
      <c r="M34" t="str">
        <f>IF(คะแนนเก็บ!O37="","",คะแนนเก็บ!O37)</f>
        <v/>
      </c>
      <c r="N34" t="str">
        <f>IF(คะแนนเก็บ!P37="","",คะแนนเก็บ!P37)</f>
        <v/>
      </c>
      <c r="O34" t="str">
        <f>IF(คะแนนเก็บ!Q37="","",คะแนนเก็บ!Q37)</f>
        <v/>
      </c>
      <c r="P34" t="str">
        <f>IF(คะแนนเก็บ!R37="","",คะแนนเก็บ!R37)</f>
        <v/>
      </c>
      <c r="Q34" t="str">
        <f>IF(คะแนนเก็บ!S37="","",คะแนนเก็บ!S37)</f>
        <v/>
      </c>
      <c r="R34" t="str">
        <f>IF(คะแนนเก็บ!T37="","",คะแนนเก็บ!T37)</f>
        <v/>
      </c>
      <c r="S34" t="str">
        <f>IF(คะแนนเก็บ!U37="","",คะแนนเก็บ!U37)</f>
        <v/>
      </c>
      <c r="T34" t="str">
        <f>IF(คะแนนเก็บ!V37="","",คะแนนเก็บ!V37)</f>
        <v/>
      </c>
      <c r="U34" t="str">
        <f>IF(คะแนนเก็บ!W37="","",คะแนนเก็บ!W37)</f>
        <v/>
      </c>
      <c r="V34" t="str">
        <f>IF(คะแนนเก็บหลังกลางภาค!D37="","",คะแนนเก็บหลังกลางภาค!D37)</f>
        <v/>
      </c>
      <c r="W34" t="str">
        <f>IF(คะแนนเก็บหลังกลางภาค!E37="","",คะแนนเก็บหลังกลางภาค!E37)</f>
        <v/>
      </c>
      <c r="X34" t="str">
        <f>IF(คะแนนเก็บหลังกลางภาค!F37="","",คะแนนเก็บหลังกลางภาค!F37)</f>
        <v/>
      </c>
      <c r="Y34" t="str">
        <f>IF(คะแนนเก็บหลังกลางภาค!G37="","",คะแนนเก็บหลังกลางภาค!G37)</f>
        <v/>
      </c>
      <c r="Z34" t="str">
        <f>IF(คะแนนเก็บหลังกลางภาค!H37="","",คะแนนเก็บหลังกลางภาค!H37)</f>
        <v/>
      </c>
      <c r="AA34" t="str">
        <f>IF(คะแนนเก็บหลังกลางภาค!I37="","",คะแนนเก็บหลังกลางภาค!I37)</f>
        <v/>
      </c>
      <c r="AB34" t="str">
        <f>IF(คะแนนเก็บหลังกลางภาค!J37="","",คะแนนเก็บหลังกลางภาค!J37)</f>
        <v/>
      </c>
      <c r="AC34" t="str">
        <f>IF(คะแนนเก็บหลังกลางภาค!K37="","",คะแนนเก็บหลังกลางภาค!K37)</f>
        <v/>
      </c>
      <c r="AD34" t="str">
        <f>IF(คะแนนเก็บหลังกลางภาค!L37="","",คะแนนเก็บหลังกลางภาค!L37)</f>
        <v/>
      </c>
      <c r="AE34" t="str">
        <f>IF(คะแนนเก็บหลังกลางภาค!M37="","",คะแนนเก็บหลังกลางภาค!M37)</f>
        <v/>
      </c>
      <c r="AF34" t="str">
        <f>IF(คะแนนเก็บหลังกลางภาค!N37="","",คะแนนเก็บหลังกลางภาค!N37)</f>
        <v/>
      </c>
      <c r="AG34" t="str">
        <f>IF(คะแนนเก็บหลังกลางภาค!O37="","",คะแนนเก็บหลังกลางภาค!O37)</f>
        <v/>
      </c>
      <c r="AH34" t="str">
        <f>IF(คะแนนเก็บหลังกลางภาค!P37="","",คะแนนเก็บหลังกลางภาค!P37)</f>
        <v/>
      </c>
      <c r="AI34" t="str">
        <f>IF(คะแนนเก็บหลังกลางภาค!Q37="","",คะแนนเก็บหลังกลางภาค!Q37)</f>
        <v/>
      </c>
      <c r="AJ34" t="str">
        <f>IF(คะแนนเก็บหลังกลางภาค!R37="","",คะแนนเก็บหลังกลางภาค!R37)</f>
        <v/>
      </c>
      <c r="AK34" t="str">
        <f>IF(คะแนนเก็บหลังกลางภาค!S37="","",คะแนนเก็บหลังกลางภาค!S37)</f>
        <v/>
      </c>
      <c r="AL34" t="str">
        <f>IF(คะแนนเก็บหลังกลางภาค!T37="","",คะแนนเก็บหลังกลางภาค!T37)</f>
        <v/>
      </c>
      <c r="AM34" t="str">
        <f>IF(คะแนนเก็บหลังกลางภาค!U37="","",คะแนนเก็บหลังกลางภาค!U37)</f>
        <v/>
      </c>
      <c r="AN34" t="str">
        <f>IF(คะแนนเก็บหลังกลางภาค!V37="","",คะแนนเก็บหลังกลางภาค!V37)</f>
        <v/>
      </c>
      <c r="AO34" t="str">
        <f>IF(คะแนนเก็บหลังกลางภาค!W37="","",คะแนนเก็บหลังกลางภาค!W37)</f>
        <v/>
      </c>
      <c r="AP34" t="str">
        <f>IF(คุณลักษณะอันพึงประสงค์!D37="","",คุณลักษณะอันพึงประสงค์!D37)</f>
        <v/>
      </c>
      <c r="AQ34" t="str">
        <f>IF(คุณลักษณะอันพึงประสงค์!E37="","",คุณลักษณะอันพึงประสงค์!E37)</f>
        <v/>
      </c>
      <c r="AR34" t="str">
        <f>IF(คุณลักษณะอันพึงประสงค์!F37="","",คุณลักษณะอันพึงประสงค์!F37)</f>
        <v/>
      </c>
      <c r="AS34" t="str">
        <f>IF(คุณลักษณะอันพึงประสงค์!G37="","",คุณลักษณะอันพึงประสงค์!G37)</f>
        <v/>
      </c>
      <c r="AT34" t="str">
        <f>IF(คุณลักษณะอันพึงประสงค์!H37="","",คุณลักษณะอันพึงประสงค์!H37)</f>
        <v/>
      </c>
      <c r="AU34" t="str">
        <f>IF(คุณลักษณะอันพึงประสงค์!I37="","",คุณลักษณะอันพึงประสงค์!I37)</f>
        <v/>
      </c>
      <c r="AV34" t="str">
        <f>IF(คุณลักษณะอันพึงประสงค์!J37="","",คุณลักษณะอันพึงประสงค์!J37)</f>
        <v/>
      </c>
      <c r="AW34" t="str">
        <f>IF(คุณลักษณะอันพึงประสงค์!K37="","",คุณลักษณะอันพึงประสงค์!K37)</f>
        <v/>
      </c>
      <c r="AX34" t="str">
        <f>IF(คุณลักษณะอันพึงประสงค์!L37="","",คุณลักษณะอันพึงประสงค์!L37)</f>
        <v/>
      </c>
      <c r="AY34" t="str">
        <f>IF(คุณลักษณะอันพึงประสงค์!M37="","",คุณลักษณะอันพึงประสงค์!M37)</f>
        <v/>
      </c>
      <c r="AZ34" t="str">
        <f>IF(กลางภาค!D37="","",กลางภาค!D37)</f>
        <v/>
      </c>
      <c r="BA34" t="str">
        <f>IF(กลางภาค!E37="","",กลางภาค!E37)</f>
        <v/>
      </c>
      <c r="BB34" t="str">
        <f>IF(กลางภาค!F37="","",กลางภาค!F37)</f>
        <v/>
      </c>
      <c r="BC34" t="str">
        <f>IF(กลางภาค!G37="","",กลางภาค!G37)</f>
        <v/>
      </c>
      <c r="BD34" t="str">
        <f>IF(กลางภาค!H37="","",กลางภาค!H37)</f>
        <v/>
      </c>
      <c r="BE34" t="str">
        <f>IF(กลางภาค!I37="","",กลางภาค!I37)</f>
        <v/>
      </c>
      <c r="BF34" t="str">
        <f>IF(กลางภาค!J37="","",กลางภาค!J37)</f>
        <v/>
      </c>
      <c r="BG34" t="str">
        <f>IF(กลางภาค!K37="","",กลางภาค!K37)</f>
        <v/>
      </c>
      <c r="BH34" t="str">
        <f>IF(กลางภาค!L37="","",กลางภาค!L37)</f>
        <v/>
      </c>
      <c r="BI34" t="str">
        <f>IF(กลางภาค!M37="","",กลางภาค!M37)</f>
        <v/>
      </c>
      <c r="BJ34" t="str">
        <f>IF(ปลายภาค!D37="","",ปลายภาค!D37)</f>
        <v/>
      </c>
      <c r="BK34" t="str">
        <f>IF(ปลายภาค!E37="","",ปลายภาค!E37)</f>
        <v/>
      </c>
      <c r="BL34" t="str">
        <f>IF(ปลายภาค!F37="","",ปลายภาค!F37)</f>
        <v/>
      </c>
      <c r="BM34" t="str">
        <f>IF(ปลายภาค!G37="","",ปลายภาค!G37)</f>
        <v/>
      </c>
      <c r="BN34" t="str">
        <f>IF(ปลายภาค!H37="","",ปลายภาค!H37)</f>
        <v/>
      </c>
      <c r="BO34" t="str">
        <f>IF(ปลายภาค!I37="","",ปลายภาค!I37)</f>
        <v/>
      </c>
      <c r="BP34" t="str">
        <f>IF(ปลายภาค!J37="","",ปลายภาค!J37)</f>
        <v/>
      </c>
      <c r="BQ34" t="str">
        <f>IF(ปลายภาค!K37="","",ปลายภาค!K37)</f>
        <v/>
      </c>
      <c r="BR34" t="str">
        <f>IF(ปลายภาค!L37="","",ปลายภาค!L37)</f>
        <v/>
      </c>
      <c r="BS34" t="str">
        <f>IF(ปลายภาค!M37="","",ปลายภาค!M37)</f>
        <v/>
      </c>
      <c r="BT34" t="str">
        <f>IF(กลางภาค!N37="","",กลางภาค!N37)</f>
        <v/>
      </c>
      <c r="BU34" t="str">
        <f>IF(ปลายภาค!N37="","",ปลายภาค!N37)</f>
        <v/>
      </c>
      <c r="BV34" t="str">
        <f>IF(คุณลักษณะอันพึงประสงค์!X37="","",คุณลักษณะอันพึงประสงค์!X37)</f>
        <v/>
      </c>
      <c r="BW34" t="str">
        <f>IF(อ่านคิดวิเคราะห์!I37="","",อ่านคิดวิเคราะห์!I37)</f>
        <v/>
      </c>
      <c r="BX34" t="str">
        <f>IF(สมรรถนะ!N37="","",สมรรถนะ!N37)</f>
        <v/>
      </c>
      <c r="BY34" t="str">
        <f>IF(อ่านคิดวิเคราะห์!D37="","",อ่านคิดวิเคราะห์!D37)</f>
        <v/>
      </c>
      <c r="BZ34" t="str">
        <f>IF(อ่านคิดวิเคราะห์!E37="","",อ่านคิดวิเคราะห์!E37)</f>
        <v/>
      </c>
      <c r="CA34" t="str">
        <f>IF(อ่านคิดวิเคราะห์!F37="","",อ่านคิดวิเคราะห์!F37)</f>
        <v/>
      </c>
      <c r="CB34" t="str">
        <f>IF(อ่านคิดวิเคราะห์!G37="","",อ่านคิดวิเคราะห์!G37)</f>
        <v/>
      </c>
      <c r="CC34" t="str">
        <f>IF(อ่านคิดวิเคราะห์!H37="","",อ่านคิดวิเคราะห์!H37)</f>
        <v/>
      </c>
      <c r="CD34" t="str">
        <f>IF(สมรรถนะ!D37="","",สมรรถนะ!D37)</f>
        <v/>
      </c>
      <c r="CE34" t="str">
        <f>IF(สมรรถนะ!E37="","",สมรรถนะ!E37)</f>
        <v/>
      </c>
      <c r="CF34" t="str">
        <f>IF(สมรรถนะ!F37="","",สมรรถนะ!F37)</f>
        <v/>
      </c>
      <c r="CG34" t="str">
        <f>IF(สมรรถนะ!G37="","",สมรรถนะ!G37)</f>
        <v/>
      </c>
      <c r="CH34" t="str">
        <f>IF(สมรรถนะ!H37="","",สมรรถนะ!H37)</f>
        <v/>
      </c>
      <c r="CI34" t="str">
        <f>IF(สมรรถนะ!I37="","",สมรรถนะ!I37)</f>
        <v/>
      </c>
      <c r="CJ34" t="str">
        <f>IF(สมรรถนะ!J37="","",สมรรถนะ!J37)</f>
        <v/>
      </c>
      <c r="CK34" t="str">
        <f>IF(สมรรถนะ!K37="","",สมรรถนะ!K37)</f>
        <v/>
      </c>
      <c r="CL34" t="str">
        <f>IF(สมรรถนะ!L37="","",สมรรถนะ!L37)</f>
        <v/>
      </c>
      <c r="CM34" t="str">
        <f>IF(สมรรถนะ!M37="","",สมรรถนะ!M37)</f>
        <v/>
      </c>
      <c r="CN34" t="str">
        <f>IF(คุณลักษณะอันพึงประสงค์!N37="","",คุณลักษณะอันพึงประสงค์!N37)</f>
        <v/>
      </c>
      <c r="CO34" t="str">
        <f>IF(คุณลักษณะอันพึงประสงค์!O37="","",คุณลักษณะอันพึงประสงค์!O37)</f>
        <v/>
      </c>
      <c r="CP34" t="str">
        <f>IF(คุณลักษณะอันพึงประสงค์!P37="","",คุณลักษณะอันพึงประสงค์!P37)</f>
        <v/>
      </c>
      <c r="CQ34" t="str">
        <f>IF(คุณลักษณะอันพึงประสงค์!Q37="","",คุณลักษณะอันพึงประสงค์!Q37)</f>
        <v/>
      </c>
      <c r="CR34" t="str">
        <f>IF(คุณลักษณะอันพึงประสงค์!R37="","",คุณลักษณะอันพึงประสงค์!R37)</f>
        <v/>
      </c>
      <c r="CS34" t="str">
        <f>IF(คุณลักษณะอันพึงประสงค์!S37="","",คุณลักษณะอันพึงประสงค์!S37)</f>
        <v/>
      </c>
      <c r="CT34" t="str">
        <f>IF(คุณลักษณะอันพึงประสงค์!T37="","",คุณลักษณะอันพึงประสงค์!T37)</f>
        <v/>
      </c>
      <c r="CU34" t="str">
        <f>IF(คุณลักษณะอันพึงประสงค์!U37="","",คุณลักษณะอันพึงประสงค์!U37)</f>
        <v/>
      </c>
      <c r="CV34" t="str">
        <f>IF(คุณลักษณะอันพึงประสงค์!V37="","",คุณลักษณะอันพึงประสงค์!V37)</f>
        <v/>
      </c>
      <c r="CW34" t="str">
        <f>IF(คุณลักษณะอันพึงประสงค์!W37="","",คุณลักษณะอันพึงประสงค์!W37)</f>
        <v/>
      </c>
    </row>
    <row r="35" spans="1:101">
      <c r="A35" t="str">
        <f>IF(คะแนนเก็บ!B38="","",คะแนนเก็บ!B38)</f>
        <v/>
      </c>
      <c r="B35" t="str">
        <f>IF(คะแนนเก็บ!D38="","",คะแนนเก็บ!D38)</f>
        <v/>
      </c>
      <c r="C35" t="str">
        <f>IF(คะแนนเก็บ!E38="","",คะแนนเก็บ!E38)</f>
        <v/>
      </c>
      <c r="D35" t="str">
        <f>IF(คะแนนเก็บ!F38="","",คะแนนเก็บ!F38)</f>
        <v/>
      </c>
      <c r="E35" t="str">
        <f>IF(คะแนนเก็บ!G38="","",คะแนนเก็บ!G38)</f>
        <v/>
      </c>
      <c r="F35" t="str">
        <f>IF(คะแนนเก็บ!H38="","",คะแนนเก็บ!H38)</f>
        <v/>
      </c>
      <c r="G35" t="str">
        <f>IF(คะแนนเก็บ!I38="","",คะแนนเก็บ!I38)</f>
        <v/>
      </c>
      <c r="H35" t="str">
        <f>IF(คะแนนเก็บ!J38="","",คะแนนเก็บ!J38)</f>
        <v/>
      </c>
      <c r="I35" t="str">
        <f>IF(คะแนนเก็บ!K38="","",คะแนนเก็บ!K38)</f>
        <v/>
      </c>
      <c r="J35" t="str">
        <f>IF(คะแนนเก็บ!L38="","",คะแนนเก็บ!L38)</f>
        <v/>
      </c>
      <c r="K35" t="str">
        <f>IF(คะแนนเก็บ!M38="","",คะแนนเก็บ!M38)</f>
        <v/>
      </c>
      <c r="L35" t="str">
        <f>IF(คะแนนเก็บ!N38="","",คะแนนเก็บ!N38)</f>
        <v/>
      </c>
      <c r="M35" t="str">
        <f>IF(คะแนนเก็บ!O38="","",คะแนนเก็บ!O38)</f>
        <v/>
      </c>
      <c r="N35" t="str">
        <f>IF(คะแนนเก็บ!P38="","",คะแนนเก็บ!P38)</f>
        <v/>
      </c>
      <c r="O35" t="str">
        <f>IF(คะแนนเก็บ!Q38="","",คะแนนเก็บ!Q38)</f>
        <v/>
      </c>
      <c r="P35" t="str">
        <f>IF(คะแนนเก็บ!R38="","",คะแนนเก็บ!R38)</f>
        <v/>
      </c>
      <c r="Q35" t="str">
        <f>IF(คะแนนเก็บ!S38="","",คะแนนเก็บ!S38)</f>
        <v/>
      </c>
      <c r="R35" t="str">
        <f>IF(คะแนนเก็บ!T38="","",คะแนนเก็บ!T38)</f>
        <v/>
      </c>
      <c r="S35" t="str">
        <f>IF(คะแนนเก็บ!U38="","",คะแนนเก็บ!U38)</f>
        <v/>
      </c>
      <c r="T35" t="str">
        <f>IF(คะแนนเก็บ!V38="","",คะแนนเก็บ!V38)</f>
        <v/>
      </c>
      <c r="U35" t="str">
        <f>IF(คะแนนเก็บ!W38="","",คะแนนเก็บ!W38)</f>
        <v/>
      </c>
      <c r="V35" t="str">
        <f>IF(คะแนนเก็บหลังกลางภาค!D38="","",คะแนนเก็บหลังกลางภาค!D38)</f>
        <v/>
      </c>
      <c r="W35" t="str">
        <f>IF(คะแนนเก็บหลังกลางภาค!E38="","",คะแนนเก็บหลังกลางภาค!E38)</f>
        <v/>
      </c>
      <c r="X35" t="str">
        <f>IF(คะแนนเก็บหลังกลางภาค!F38="","",คะแนนเก็บหลังกลางภาค!F38)</f>
        <v/>
      </c>
      <c r="Y35" t="str">
        <f>IF(คะแนนเก็บหลังกลางภาค!G38="","",คะแนนเก็บหลังกลางภาค!G38)</f>
        <v/>
      </c>
      <c r="Z35" t="str">
        <f>IF(คะแนนเก็บหลังกลางภาค!H38="","",คะแนนเก็บหลังกลางภาค!H38)</f>
        <v/>
      </c>
      <c r="AA35" t="str">
        <f>IF(คะแนนเก็บหลังกลางภาค!I38="","",คะแนนเก็บหลังกลางภาค!I38)</f>
        <v/>
      </c>
      <c r="AB35" t="str">
        <f>IF(คะแนนเก็บหลังกลางภาค!J38="","",คะแนนเก็บหลังกลางภาค!J38)</f>
        <v/>
      </c>
      <c r="AC35" t="str">
        <f>IF(คะแนนเก็บหลังกลางภาค!K38="","",คะแนนเก็บหลังกลางภาค!K38)</f>
        <v/>
      </c>
      <c r="AD35" t="str">
        <f>IF(คะแนนเก็บหลังกลางภาค!L38="","",คะแนนเก็บหลังกลางภาค!L38)</f>
        <v/>
      </c>
      <c r="AE35" t="str">
        <f>IF(คะแนนเก็บหลังกลางภาค!M38="","",คะแนนเก็บหลังกลางภาค!M38)</f>
        <v/>
      </c>
      <c r="AF35" t="str">
        <f>IF(คะแนนเก็บหลังกลางภาค!N38="","",คะแนนเก็บหลังกลางภาค!N38)</f>
        <v/>
      </c>
      <c r="AG35" t="str">
        <f>IF(คะแนนเก็บหลังกลางภาค!O38="","",คะแนนเก็บหลังกลางภาค!O38)</f>
        <v/>
      </c>
      <c r="AH35" t="str">
        <f>IF(คะแนนเก็บหลังกลางภาค!P38="","",คะแนนเก็บหลังกลางภาค!P38)</f>
        <v/>
      </c>
      <c r="AI35" t="str">
        <f>IF(คะแนนเก็บหลังกลางภาค!Q38="","",คะแนนเก็บหลังกลางภาค!Q38)</f>
        <v/>
      </c>
      <c r="AJ35" t="str">
        <f>IF(คะแนนเก็บหลังกลางภาค!R38="","",คะแนนเก็บหลังกลางภาค!R38)</f>
        <v/>
      </c>
      <c r="AK35" t="str">
        <f>IF(คะแนนเก็บหลังกลางภาค!S38="","",คะแนนเก็บหลังกลางภาค!S38)</f>
        <v/>
      </c>
      <c r="AL35" t="str">
        <f>IF(คะแนนเก็บหลังกลางภาค!T38="","",คะแนนเก็บหลังกลางภาค!T38)</f>
        <v/>
      </c>
      <c r="AM35" t="str">
        <f>IF(คะแนนเก็บหลังกลางภาค!U38="","",คะแนนเก็บหลังกลางภาค!U38)</f>
        <v/>
      </c>
      <c r="AN35" t="str">
        <f>IF(คะแนนเก็บหลังกลางภาค!V38="","",คะแนนเก็บหลังกลางภาค!V38)</f>
        <v/>
      </c>
      <c r="AO35" t="str">
        <f>IF(คะแนนเก็บหลังกลางภาค!W38="","",คะแนนเก็บหลังกลางภาค!W38)</f>
        <v/>
      </c>
      <c r="AP35" t="str">
        <f>IF(คุณลักษณะอันพึงประสงค์!D38="","",คุณลักษณะอันพึงประสงค์!D38)</f>
        <v/>
      </c>
      <c r="AQ35" t="str">
        <f>IF(คุณลักษณะอันพึงประสงค์!E38="","",คุณลักษณะอันพึงประสงค์!E38)</f>
        <v/>
      </c>
      <c r="AR35" t="str">
        <f>IF(คุณลักษณะอันพึงประสงค์!F38="","",คุณลักษณะอันพึงประสงค์!F38)</f>
        <v/>
      </c>
      <c r="AS35" t="str">
        <f>IF(คุณลักษณะอันพึงประสงค์!G38="","",คุณลักษณะอันพึงประสงค์!G38)</f>
        <v/>
      </c>
      <c r="AT35" t="str">
        <f>IF(คุณลักษณะอันพึงประสงค์!H38="","",คุณลักษณะอันพึงประสงค์!H38)</f>
        <v/>
      </c>
      <c r="AU35" t="str">
        <f>IF(คุณลักษณะอันพึงประสงค์!I38="","",คุณลักษณะอันพึงประสงค์!I38)</f>
        <v/>
      </c>
      <c r="AV35" t="str">
        <f>IF(คุณลักษณะอันพึงประสงค์!J38="","",คุณลักษณะอันพึงประสงค์!J38)</f>
        <v/>
      </c>
      <c r="AW35" t="str">
        <f>IF(คุณลักษณะอันพึงประสงค์!K38="","",คุณลักษณะอันพึงประสงค์!K38)</f>
        <v/>
      </c>
      <c r="AX35" t="str">
        <f>IF(คุณลักษณะอันพึงประสงค์!L38="","",คุณลักษณะอันพึงประสงค์!L38)</f>
        <v/>
      </c>
      <c r="AY35" t="str">
        <f>IF(คุณลักษณะอันพึงประสงค์!M38="","",คุณลักษณะอันพึงประสงค์!M38)</f>
        <v/>
      </c>
      <c r="AZ35" t="str">
        <f>IF(กลางภาค!D38="","",กลางภาค!D38)</f>
        <v/>
      </c>
      <c r="BA35" t="str">
        <f>IF(กลางภาค!E38="","",กลางภาค!E38)</f>
        <v/>
      </c>
      <c r="BB35" t="str">
        <f>IF(กลางภาค!F38="","",กลางภาค!F38)</f>
        <v/>
      </c>
      <c r="BC35" t="str">
        <f>IF(กลางภาค!G38="","",กลางภาค!G38)</f>
        <v/>
      </c>
      <c r="BD35" t="str">
        <f>IF(กลางภาค!H38="","",กลางภาค!H38)</f>
        <v/>
      </c>
      <c r="BE35" t="str">
        <f>IF(กลางภาค!I38="","",กลางภาค!I38)</f>
        <v/>
      </c>
      <c r="BF35" t="str">
        <f>IF(กลางภาค!J38="","",กลางภาค!J38)</f>
        <v/>
      </c>
      <c r="BG35" t="str">
        <f>IF(กลางภาค!K38="","",กลางภาค!K38)</f>
        <v/>
      </c>
      <c r="BH35" t="str">
        <f>IF(กลางภาค!L38="","",กลางภาค!L38)</f>
        <v/>
      </c>
      <c r="BI35" t="str">
        <f>IF(กลางภาค!M38="","",กลางภาค!M38)</f>
        <v/>
      </c>
      <c r="BJ35" t="str">
        <f>IF(ปลายภาค!D38="","",ปลายภาค!D38)</f>
        <v/>
      </c>
      <c r="BK35" t="str">
        <f>IF(ปลายภาค!E38="","",ปลายภาค!E38)</f>
        <v/>
      </c>
      <c r="BL35" t="str">
        <f>IF(ปลายภาค!F38="","",ปลายภาค!F38)</f>
        <v/>
      </c>
      <c r="BM35" t="str">
        <f>IF(ปลายภาค!G38="","",ปลายภาค!G38)</f>
        <v/>
      </c>
      <c r="BN35" t="str">
        <f>IF(ปลายภาค!H38="","",ปลายภาค!H38)</f>
        <v/>
      </c>
      <c r="BO35" t="str">
        <f>IF(ปลายภาค!I38="","",ปลายภาค!I38)</f>
        <v/>
      </c>
      <c r="BP35" t="str">
        <f>IF(ปลายภาค!J38="","",ปลายภาค!J38)</f>
        <v/>
      </c>
      <c r="BQ35" t="str">
        <f>IF(ปลายภาค!K38="","",ปลายภาค!K38)</f>
        <v/>
      </c>
      <c r="BR35" t="str">
        <f>IF(ปลายภาค!L38="","",ปลายภาค!L38)</f>
        <v/>
      </c>
      <c r="BS35" t="str">
        <f>IF(ปลายภาค!M38="","",ปลายภาค!M38)</f>
        <v/>
      </c>
      <c r="BT35" t="str">
        <f>IF(กลางภาค!N38="","",กลางภาค!N38)</f>
        <v/>
      </c>
      <c r="BU35" t="str">
        <f>IF(ปลายภาค!N38="","",ปลายภาค!N38)</f>
        <v/>
      </c>
      <c r="BV35" t="str">
        <f>IF(คุณลักษณะอันพึงประสงค์!X38="","",คุณลักษณะอันพึงประสงค์!X38)</f>
        <v/>
      </c>
      <c r="BW35" t="str">
        <f>IF(อ่านคิดวิเคราะห์!I38="","",อ่านคิดวิเคราะห์!I38)</f>
        <v/>
      </c>
      <c r="BX35" t="str">
        <f>IF(สมรรถนะ!N38="","",สมรรถนะ!N38)</f>
        <v/>
      </c>
      <c r="BY35" t="str">
        <f>IF(อ่านคิดวิเคราะห์!D38="","",อ่านคิดวิเคราะห์!D38)</f>
        <v/>
      </c>
      <c r="BZ35" t="str">
        <f>IF(อ่านคิดวิเคราะห์!E38="","",อ่านคิดวิเคราะห์!E38)</f>
        <v/>
      </c>
      <c r="CA35" t="str">
        <f>IF(อ่านคิดวิเคราะห์!F38="","",อ่านคิดวิเคราะห์!F38)</f>
        <v/>
      </c>
      <c r="CB35" t="str">
        <f>IF(อ่านคิดวิเคราะห์!G38="","",อ่านคิดวิเคราะห์!G38)</f>
        <v/>
      </c>
      <c r="CC35" t="str">
        <f>IF(อ่านคิดวิเคราะห์!H38="","",อ่านคิดวิเคราะห์!H38)</f>
        <v/>
      </c>
      <c r="CD35" t="str">
        <f>IF(สมรรถนะ!D38="","",สมรรถนะ!D38)</f>
        <v/>
      </c>
      <c r="CE35" t="str">
        <f>IF(สมรรถนะ!E38="","",สมรรถนะ!E38)</f>
        <v/>
      </c>
      <c r="CF35" t="str">
        <f>IF(สมรรถนะ!F38="","",สมรรถนะ!F38)</f>
        <v/>
      </c>
      <c r="CG35" t="str">
        <f>IF(สมรรถนะ!G38="","",สมรรถนะ!G38)</f>
        <v/>
      </c>
      <c r="CH35" t="str">
        <f>IF(สมรรถนะ!H38="","",สมรรถนะ!H38)</f>
        <v/>
      </c>
      <c r="CI35" t="str">
        <f>IF(สมรรถนะ!I38="","",สมรรถนะ!I38)</f>
        <v/>
      </c>
      <c r="CJ35" t="str">
        <f>IF(สมรรถนะ!J38="","",สมรรถนะ!J38)</f>
        <v/>
      </c>
      <c r="CK35" t="str">
        <f>IF(สมรรถนะ!K38="","",สมรรถนะ!K38)</f>
        <v/>
      </c>
      <c r="CL35" t="str">
        <f>IF(สมรรถนะ!L38="","",สมรรถนะ!L38)</f>
        <v/>
      </c>
      <c r="CM35" t="str">
        <f>IF(สมรรถนะ!M38="","",สมรรถนะ!M38)</f>
        <v/>
      </c>
      <c r="CN35" t="str">
        <f>IF(คุณลักษณะอันพึงประสงค์!N38="","",คุณลักษณะอันพึงประสงค์!N38)</f>
        <v/>
      </c>
      <c r="CO35" t="str">
        <f>IF(คุณลักษณะอันพึงประสงค์!O38="","",คุณลักษณะอันพึงประสงค์!O38)</f>
        <v/>
      </c>
      <c r="CP35" t="str">
        <f>IF(คุณลักษณะอันพึงประสงค์!P38="","",คุณลักษณะอันพึงประสงค์!P38)</f>
        <v/>
      </c>
      <c r="CQ35" t="str">
        <f>IF(คุณลักษณะอันพึงประสงค์!Q38="","",คุณลักษณะอันพึงประสงค์!Q38)</f>
        <v/>
      </c>
      <c r="CR35" t="str">
        <f>IF(คุณลักษณะอันพึงประสงค์!R38="","",คุณลักษณะอันพึงประสงค์!R38)</f>
        <v/>
      </c>
      <c r="CS35" t="str">
        <f>IF(คุณลักษณะอันพึงประสงค์!S38="","",คุณลักษณะอันพึงประสงค์!S38)</f>
        <v/>
      </c>
      <c r="CT35" t="str">
        <f>IF(คุณลักษณะอันพึงประสงค์!T38="","",คุณลักษณะอันพึงประสงค์!T38)</f>
        <v/>
      </c>
      <c r="CU35" t="str">
        <f>IF(คุณลักษณะอันพึงประสงค์!U38="","",คุณลักษณะอันพึงประสงค์!U38)</f>
        <v/>
      </c>
      <c r="CV35" t="str">
        <f>IF(คุณลักษณะอันพึงประสงค์!V38="","",คุณลักษณะอันพึงประสงค์!V38)</f>
        <v/>
      </c>
      <c r="CW35" t="str">
        <f>IF(คุณลักษณะอันพึงประสงค์!W38="","",คุณลักษณะอันพึงประสงค์!W38)</f>
        <v/>
      </c>
    </row>
    <row r="36" spans="1:101">
      <c r="A36" t="str">
        <f>IF(คะแนนเก็บ!B39="","",คะแนนเก็บ!B39)</f>
        <v/>
      </c>
      <c r="B36" t="str">
        <f>IF(คะแนนเก็บ!D39="","",คะแนนเก็บ!D39)</f>
        <v/>
      </c>
      <c r="C36" t="str">
        <f>IF(คะแนนเก็บ!E39="","",คะแนนเก็บ!E39)</f>
        <v/>
      </c>
      <c r="D36" t="str">
        <f>IF(คะแนนเก็บ!F39="","",คะแนนเก็บ!F39)</f>
        <v/>
      </c>
      <c r="E36" t="str">
        <f>IF(คะแนนเก็บ!G39="","",คะแนนเก็บ!G39)</f>
        <v/>
      </c>
      <c r="F36" t="str">
        <f>IF(คะแนนเก็บ!H39="","",คะแนนเก็บ!H39)</f>
        <v/>
      </c>
      <c r="G36" t="str">
        <f>IF(คะแนนเก็บ!I39="","",คะแนนเก็บ!I39)</f>
        <v/>
      </c>
      <c r="H36" t="str">
        <f>IF(คะแนนเก็บ!J39="","",คะแนนเก็บ!J39)</f>
        <v/>
      </c>
      <c r="I36" t="str">
        <f>IF(คะแนนเก็บ!K39="","",คะแนนเก็บ!K39)</f>
        <v/>
      </c>
      <c r="J36" t="str">
        <f>IF(คะแนนเก็บ!L39="","",คะแนนเก็บ!L39)</f>
        <v/>
      </c>
      <c r="K36" t="str">
        <f>IF(คะแนนเก็บ!M39="","",คะแนนเก็บ!M39)</f>
        <v/>
      </c>
      <c r="L36" t="str">
        <f>IF(คะแนนเก็บ!N39="","",คะแนนเก็บ!N39)</f>
        <v/>
      </c>
      <c r="M36" t="str">
        <f>IF(คะแนนเก็บ!O39="","",คะแนนเก็บ!O39)</f>
        <v/>
      </c>
      <c r="N36" t="str">
        <f>IF(คะแนนเก็บ!P39="","",คะแนนเก็บ!P39)</f>
        <v/>
      </c>
      <c r="O36" t="str">
        <f>IF(คะแนนเก็บ!Q39="","",คะแนนเก็บ!Q39)</f>
        <v/>
      </c>
      <c r="P36" t="str">
        <f>IF(คะแนนเก็บ!R39="","",คะแนนเก็บ!R39)</f>
        <v/>
      </c>
      <c r="Q36" t="str">
        <f>IF(คะแนนเก็บ!S39="","",คะแนนเก็บ!S39)</f>
        <v/>
      </c>
      <c r="R36" t="str">
        <f>IF(คะแนนเก็บ!T39="","",คะแนนเก็บ!T39)</f>
        <v/>
      </c>
      <c r="S36" t="str">
        <f>IF(คะแนนเก็บ!U39="","",คะแนนเก็บ!U39)</f>
        <v/>
      </c>
      <c r="T36" t="str">
        <f>IF(คะแนนเก็บ!V39="","",คะแนนเก็บ!V39)</f>
        <v/>
      </c>
      <c r="U36" t="str">
        <f>IF(คะแนนเก็บ!W39="","",คะแนนเก็บ!W39)</f>
        <v/>
      </c>
      <c r="V36" t="str">
        <f>IF(คะแนนเก็บหลังกลางภาค!D39="","",คะแนนเก็บหลังกลางภาค!D39)</f>
        <v/>
      </c>
      <c r="W36" t="str">
        <f>IF(คะแนนเก็บหลังกลางภาค!E39="","",คะแนนเก็บหลังกลางภาค!E39)</f>
        <v/>
      </c>
      <c r="X36" t="str">
        <f>IF(คะแนนเก็บหลังกลางภาค!F39="","",คะแนนเก็บหลังกลางภาค!F39)</f>
        <v/>
      </c>
      <c r="Y36" t="str">
        <f>IF(คะแนนเก็บหลังกลางภาค!G39="","",คะแนนเก็บหลังกลางภาค!G39)</f>
        <v/>
      </c>
      <c r="Z36" t="str">
        <f>IF(คะแนนเก็บหลังกลางภาค!H39="","",คะแนนเก็บหลังกลางภาค!H39)</f>
        <v/>
      </c>
      <c r="AA36" t="str">
        <f>IF(คะแนนเก็บหลังกลางภาค!I39="","",คะแนนเก็บหลังกลางภาค!I39)</f>
        <v/>
      </c>
      <c r="AB36" t="str">
        <f>IF(คะแนนเก็บหลังกลางภาค!J39="","",คะแนนเก็บหลังกลางภาค!J39)</f>
        <v/>
      </c>
      <c r="AC36" t="str">
        <f>IF(คะแนนเก็บหลังกลางภาค!K39="","",คะแนนเก็บหลังกลางภาค!K39)</f>
        <v/>
      </c>
      <c r="AD36" t="str">
        <f>IF(คะแนนเก็บหลังกลางภาค!L39="","",คะแนนเก็บหลังกลางภาค!L39)</f>
        <v/>
      </c>
      <c r="AE36" t="str">
        <f>IF(คะแนนเก็บหลังกลางภาค!M39="","",คะแนนเก็บหลังกลางภาค!M39)</f>
        <v/>
      </c>
      <c r="AF36" t="str">
        <f>IF(คะแนนเก็บหลังกลางภาค!N39="","",คะแนนเก็บหลังกลางภาค!N39)</f>
        <v/>
      </c>
      <c r="AG36" t="str">
        <f>IF(คะแนนเก็บหลังกลางภาค!O39="","",คะแนนเก็บหลังกลางภาค!O39)</f>
        <v/>
      </c>
      <c r="AH36" t="str">
        <f>IF(คะแนนเก็บหลังกลางภาค!P39="","",คะแนนเก็บหลังกลางภาค!P39)</f>
        <v/>
      </c>
      <c r="AI36" t="str">
        <f>IF(คะแนนเก็บหลังกลางภาค!Q39="","",คะแนนเก็บหลังกลางภาค!Q39)</f>
        <v/>
      </c>
      <c r="AJ36" t="str">
        <f>IF(คะแนนเก็บหลังกลางภาค!R39="","",คะแนนเก็บหลังกลางภาค!R39)</f>
        <v/>
      </c>
      <c r="AK36" t="str">
        <f>IF(คะแนนเก็บหลังกลางภาค!S39="","",คะแนนเก็บหลังกลางภาค!S39)</f>
        <v/>
      </c>
      <c r="AL36" t="str">
        <f>IF(คะแนนเก็บหลังกลางภาค!T39="","",คะแนนเก็บหลังกลางภาค!T39)</f>
        <v/>
      </c>
      <c r="AM36" t="str">
        <f>IF(คะแนนเก็บหลังกลางภาค!U39="","",คะแนนเก็บหลังกลางภาค!U39)</f>
        <v/>
      </c>
      <c r="AN36" t="str">
        <f>IF(คะแนนเก็บหลังกลางภาค!V39="","",คะแนนเก็บหลังกลางภาค!V39)</f>
        <v/>
      </c>
      <c r="AO36" t="str">
        <f>IF(คะแนนเก็บหลังกลางภาค!W39="","",คะแนนเก็บหลังกลางภาค!W39)</f>
        <v/>
      </c>
      <c r="AP36" t="str">
        <f>IF(คุณลักษณะอันพึงประสงค์!D39="","",คุณลักษณะอันพึงประสงค์!D39)</f>
        <v/>
      </c>
      <c r="AQ36" t="str">
        <f>IF(คุณลักษณะอันพึงประสงค์!E39="","",คุณลักษณะอันพึงประสงค์!E39)</f>
        <v/>
      </c>
      <c r="AR36" t="str">
        <f>IF(คุณลักษณะอันพึงประสงค์!F39="","",คุณลักษณะอันพึงประสงค์!F39)</f>
        <v/>
      </c>
      <c r="AS36" t="str">
        <f>IF(คุณลักษณะอันพึงประสงค์!G39="","",คุณลักษณะอันพึงประสงค์!G39)</f>
        <v/>
      </c>
      <c r="AT36" t="str">
        <f>IF(คุณลักษณะอันพึงประสงค์!H39="","",คุณลักษณะอันพึงประสงค์!H39)</f>
        <v/>
      </c>
      <c r="AU36" t="str">
        <f>IF(คุณลักษณะอันพึงประสงค์!I39="","",คุณลักษณะอันพึงประสงค์!I39)</f>
        <v/>
      </c>
      <c r="AV36" t="str">
        <f>IF(คุณลักษณะอันพึงประสงค์!J39="","",คุณลักษณะอันพึงประสงค์!J39)</f>
        <v/>
      </c>
      <c r="AW36" t="str">
        <f>IF(คุณลักษณะอันพึงประสงค์!K39="","",คุณลักษณะอันพึงประสงค์!K39)</f>
        <v/>
      </c>
      <c r="AX36" t="str">
        <f>IF(คุณลักษณะอันพึงประสงค์!L39="","",คุณลักษณะอันพึงประสงค์!L39)</f>
        <v/>
      </c>
      <c r="AY36" t="str">
        <f>IF(คุณลักษณะอันพึงประสงค์!M39="","",คุณลักษณะอันพึงประสงค์!M39)</f>
        <v/>
      </c>
      <c r="AZ36" t="str">
        <f>IF(กลางภาค!D39="","",กลางภาค!D39)</f>
        <v/>
      </c>
      <c r="BA36" t="str">
        <f>IF(กลางภาค!E39="","",กลางภาค!E39)</f>
        <v/>
      </c>
      <c r="BB36" t="str">
        <f>IF(กลางภาค!F39="","",กลางภาค!F39)</f>
        <v/>
      </c>
      <c r="BC36" t="str">
        <f>IF(กลางภาค!G39="","",กลางภาค!G39)</f>
        <v/>
      </c>
      <c r="BD36" t="str">
        <f>IF(กลางภาค!H39="","",กลางภาค!H39)</f>
        <v/>
      </c>
      <c r="BE36" t="str">
        <f>IF(กลางภาค!I39="","",กลางภาค!I39)</f>
        <v/>
      </c>
      <c r="BF36" t="str">
        <f>IF(กลางภาค!J39="","",กลางภาค!J39)</f>
        <v/>
      </c>
      <c r="BG36" t="str">
        <f>IF(กลางภาค!K39="","",กลางภาค!K39)</f>
        <v/>
      </c>
      <c r="BH36" t="str">
        <f>IF(กลางภาค!L39="","",กลางภาค!L39)</f>
        <v/>
      </c>
      <c r="BI36" t="str">
        <f>IF(กลางภาค!M39="","",กลางภาค!M39)</f>
        <v/>
      </c>
      <c r="BJ36" t="str">
        <f>IF(ปลายภาค!D39="","",ปลายภาค!D39)</f>
        <v/>
      </c>
      <c r="BK36" t="str">
        <f>IF(ปลายภาค!E39="","",ปลายภาค!E39)</f>
        <v/>
      </c>
      <c r="BL36" t="str">
        <f>IF(ปลายภาค!F39="","",ปลายภาค!F39)</f>
        <v/>
      </c>
      <c r="BM36" t="str">
        <f>IF(ปลายภาค!G39="","",ปลายภาค!G39)</f>
        <v/>
      </c>
      <c r="BN36" t="str">
        <f>IF(ปลายภาค!H39="","",ปลายภาค!H39)</f>
        <v/>
      </c>
      <c r="BO36" t="str">
        <f>IF(ปลายภาค!I39="","",ปลายภาค!I39)</f>
        <v/>
      </c>
      <c r="BP36" t="str">
        <f>IF(ปลายภาค!J39="","",ปลายภาค!J39)</f>
        <v/>
      </c>
      <c r="BQ36" t="str">
        <f>IF(ปลายภาค!K39="","",ปลายภาค!K39)</f>
        <v/>
      </c>
      <c r="BR36" t="str">
        <f>IF(ปลายภาค!L39="","",ปลายภาค!L39)</f>
        <v/>
      </c>
      <c r="BS36" t="str">
        <f>IF(ปลายภาค!M39="","",ปลายภาค!M39)</f>
        <v/>
      </c>
      <c r="BT36" t="str">
        <f>IF(กลางภาค!N39="","",กลางภาค!N39)</f>
        <v/>
      </c>
      <c r="BU36" t="str">
        <f>IF(ปลายภาค!N39="","",ปลายภาค!N39)</f>
        <v/>
      </c>
      <c r="BV36" t="str">
        <f>IF(คุณลักษณะอันพึงประสงค์!X39="","",คุณลักษณะอันพึงประสงค์!X39)</f>
        <v/>
      </c>
      <c r="BW36" t="str">
        <f>IF(อ่านคิดวิเคราะห์!I39="","",อ่านคิดวิเคราะห์!I39)</f>
        <v/>
      </c>
      <c r="BX36" t="str">
        <f>IF(สมรรถนะ!N39="","",สมรรถนะ!N39)</f>
        <v/>
      </c>
      <c r="BY36" t="str">
        <f>IF(อ่านคิดวิเคราะห์!D39="","",อ่านคิดวิเคราะห์!D39)</f>
        <v/>
      </c>
      <c r="BZ36" t="str">
        <f>IF(อ่านคิดวิเคราะห์!E39="","",อ่านคิดวิเคราะห์!E39)</f>
        <v/>
      </c>
      <c r="CA36" t="str">
        <f>IF(อ่านคิดวิเคราะห์!F39="","",อ่านคิดวิเคราะห์!F39)</f>
        <v/>
      </c>
      <c r="CB36" t="str">
        <f>IF(อ่านคิดวิเคราะห์!G39="","",อ่านคิดวิเคราะห์!G39)</f>
        <v/>
      </c>
      <c r="CC36" t="str">
        <f>IF(อ่านคิดวิเคราะห์!H39="","",อ่านคิดวิเคราะห์!H39)</f>
        <v/>
      </c>
      <c r="CD36" t="str">
        <f>IF(สมรรถนะ!D39="","",สมรรถนะ!D39)</f>
        <v/>
      </c>
      <c r="CE36" t="str">
        <f>IF(สมรรถนะ!E39="","",สมรรถนะ!E39)</f>
        <v/>
      </c>
      <c r="CF36" t="str">
        <f>IF(สมรรถนะ!F39="","",สมรรถนะ!F39)</f>
        <v/>
      </c>
      <c r="CG36" t="str">
        <f>IF(สมรรถนะ!G39="","",สมรรถนะ!G39)</f>
        <v/>
      </c>
      <c r="CH36" t="str">
        <f>IF(สมรรถนะ!H39="","",สมรรถนะ!H39)</f>
        <v/>
      </c>
      <c r="CI36" t="str">
        <f>IF(สมรรถนะ!I39="","",สมรรถนะ!I39)</f>
        <v/>
      </c>
      <c r="CJ36" t="str">
        <f>IF(สมรรถนะ!J39="","",สมรรถนะ!J39)</f>
        <v/>
      </c>
      <c r="CK36" t="str">
        <f>IF(สมรรถนะ!K39="","",สมรรถนะ!K39)</f>
        <v/>
      </c>
      <c r="CL36" t="str">
        <f>IF(สมรรถนะ!L39="","",สมรรถนะ!L39)</f>
        <v/>
      </c>
      <c r="CM36" t="str">
        <f>IF(สมรรถนะ!M39="","",สมรรถนะ!M39)</f>
        <v/>
      </c>
      <c r="CN36" t="str">
        <f>IF(คุณลักษณะอันพึงประสงค์!N39="","",คุณลักษณะอันพึงประสงค์!N39)</f>
        <v/>
      </c>
      <c r="CO36" t="str">
        <f>IF(คุณลักษณะอันพึงประสงค์!O39="","",คุณลักษณะอันพึงประสงค์!O39)</f>
        <v/>
      </c>
      <c r="CP36" t="str">
        <f>IF(คุณลักษณะอันพึงประสงค์!P39="","",คุณลักษณะอันพึงประสงค์!P39)</f>
        <v/>
      </c>
      <c r="CQ36" t="str">
        <f>IF(คุณลักษณะอันพึงประสงค์!Q39="","",คุณลักษณะอันพึงประสงค์!Q39)</f>
        <v/>
      </c>
      <c r="CR36" t="str">
        <f>IF(คุณลักษณะอันพึงประสงค์!R39="","",คุณลักษณะอันพึงประสงค์!R39)</f>
        <v/>
      </c>
      <c r="CS36" t="str">
        <f>IF(คุณลักษณะอันพึงประสงค์!S39="","",คุณลักษณะอันพึงประสงค์!S39)</f>
        <v/>
      </c>
      <c r="CT36" t="str">
        <f>IF(คุณลักษณะอันพึงประสงค์!T39="","",คุณลักษณะอันพึงประสงค์!T39)</f>
        <v/>
      </c>
      <c r="CU36" t="str">
        <f>IF(คุณลักษณะอันพึงประสงค์!U39="","",คุณลักษณะอันพึงประสงค์!U39)</f>
        <v/>
      </c>
      <c r="CV36" t="str">
        <f>IF(คุณลักษณะอันพึงประสงค์!V39="","",คุณลักษณะอันพึงประสงค์!V39)</f>
        <v/>
      </c>
      <c r="CW36" t="str">
        <f>IF(คุณลักษณะอันพึงประสงค์!W39="","",คุณลักษณะอันพึงประสงค์!W39)</f>
        <v/>
      </c>
    </row>
    <row r="37" spans="1:101">
      <c r="A37" t="str">
        <f>IF(คะแนนเก็บ!B40="","",คะแนนเก็บ!B40)</f>
        <v/>
      </c>
      <c r="B37" t="str">
        <f>IF(คะแนนเก็บ!D40="","",คะแนนเก็บ!D40)</f>
        <v/>
      </c>
      <c r="C37" t="str">
        <f>IF(คะแนนเก็บ!E40="","",คะแนนเก็บ!E40)</f>
        <v/>
      </c>
      <c r="D37" t="str">
        <f>IF(คะแนนเก็บ!F40="","",คะแนนเก็บ!F40)</f>
        <v/>
      </c>
      <c r="E37" t="str">
        <f>IF(คะแนนเก็บ!G40="","",คะแนนเก็บ!G40)</f>
        <v/>
      </c>
      <c r="F37" t="str">
        <f>IF(คะแนนเก็บ!H40="","",คะแนนเก็บ!H40)</f>
        <v/>
      </c>
      <c r="G37" t="str">
        <f>IF(คะแนนเก็บ!I40="","",คะแนนเก็บ!I40)</f>
        <v/>
      </c>
      <c r="H37" t="str">
        <f>IF(คะแนนเก็บ!J40="","",คะแนนเก็บ!J40)</f>
        <v/>
      </c>
      <c r="I37" t="str">
        <f>IF(คะแนนเก็บ!K40="","",คะแนนเก็บ!K40)</f>
        <v/>
      </c>
      <c r="J37" t="str">
        <f>IF(คะแนนเก็บ!L40="","",คะแนนเก็บ!L40)</f>
        <v/>
      </c>
      <c r="K37" t="str">
        <f>IF(คะแนนเก็บ!M40="","",คะแนนเก็บ!M40)</f>
        <v/>
      </c>
      <c r="L37" t="str">
        <f>IF(คะแนนเก็บ!N40="","",คะแนนเก็บ!N40)</f>
        <v/>
      </c>
      <c r="M37" t="str">
        <f>IF(คะแนนเก็บ!O40="","",คะแนนเก็บ!O40)</f>
        <v/>
      </c>
      <c r="N37" t="str">
        <f>IF(คะแนนเก็บ!P40="","",คะแนนเก็บ!P40)</f>
        <v/>
      </c>
      <c r="O37" t="str">
        <f>IF(คะแนนเก็บ!Q40="","",คะแนนเก็บ!Q40)</f>
        <v/>
      </c>
      <c r="P37" t="str">
        <f>IF(คะแนนเก็บ!R40="","",คะแนนเก็บ!R40)</f>
        <v/>
      </c>
      <c r="Q37" t="str">
        <f>IF(คะแนนเก็บ!S40="","",คะแนนเก็บ!S40)</f>
        <v/>
      </c>
      <c r="R37" t="str">
        <f>IF(คะแนนเก็บ!T40="","",คะแนนเก็บ!T40)</f>
        <v/>
      </c>
      <c r="S37" t="str">
        <f>IF(คะแนนเก็บ!U40="","",คะแนนเก็บ!U40)</f>
        <v/>
      </c>
      <c r="T37" t="str">
        <f>IF(คะแนนเก็บ!V40="","",คะแนนเก็บ!V40)</f>
        <v/>
      </c>
      <c r="U37" t="str">
        <f>IF(คะแนนเก็บ!W40="","",คะแนนเก็บ!W40)</f>
        <v/>
      </c>
      <c r="V37" t="str">
        <f>IF(คะแนนเก็บหลังกลางภาค!D40="","",คะแนนเก็บหลังกลางภาค!D40)</f>
        <v/>
      </c>
      <c r="W37" t="str">
        <f>IF(คะแนนเก็บหลังกลางภาค!E40="","",คะแนนเก็บหลังกลางภาค!E40)</f>
        <v/>
      </c>
      <c r="X37" t="str">
        <f>IF(คะแนนเก็บหลังกลางภาค!F40="","",คะแนนเก็บหลังกลางภาค!F40)</f>
        <v/>
      </c>
      <c r="Y37" t="str">
        <f>IF(คะแนนเก็บหลังกลางภาค!G40="","",คะแนนเก็บหลังกลางภาค!G40)</f>
        <v/>
      </c>
      <c r="Z37" t="str">
        <f>IF(คะแนนเก็บหลังกลางภาค!H40="","",คะแนนเก็บหลังกลางภาค!H40)</f>
        <v/>
      </c>
      <c r="AA37" t="str">
        <f>IF(คะแนนเก็บหลังกลางภาค!I40="","",คะแนนเก็บหลังกลางภาค!I40)</f>
        <v/>
      </c>
      <c r="AB37" t="str">
        <f>IF(คะแนนเก็บหลังกลางภาค!J40="","",คะแนนเก็บหลังกลางภาค!J40)</f>
        <v/>
      </c>
      <c r="AC37" t="str">
        <f>IF(คะแนนเก็บหลังกลางภาค!K40="","",คะแนนเก็บหลังกลางภาค!K40)</f>
        <v/>
      </c>
      <c r="AD37" t="str">
        <f>IF(คะแนนเก็บหลังกลางภาค!L40="","",คะแนนเก็บหลังกลางภาค!L40)</f>
        <v/>
      </c>
      <c r="AE37" t="str">
        <f>IF(คะแนนเก็บหลังกลางภาค!M40="","",คะแนนเก็บหลังกลางภาค!M40)</f>
        <v/>
      </c>
      <c r="AF37" t="str">
        <f>IF(คะแนนเก็บหลังกลางภาค!N40="","",คะแนนเก็บหลังกลางภาค!N40)</f>
        <v/>
      </c>
      <c r="AG37" t="str">
        <f>IF(คะแนนเก็บหลังกลางภาค!O40="","",คะแนนเก็บหลังกลางภาค!O40)</f>
        <v/>
      </c>
      <c r="AH37" t="str">
        <f>IF(คะแนนเก็บหลังกลางภาค!P40="","",คะแนนเก็บหลังกลางภาค!P40)</f>
        <v/>
      </c>
      <c r="AI37" t="str">
        <f>IF(คะแนนเก็บหลังกลางภาค!Q40="","",คะแนนเก็บหลังกลางภาค!Q40)</f>
        <v/>
      </c>
      <c r="AJ37" t="str">
        <f>IF(คะแนนเก็บหลังกลางภาค!R40="","",คะแนนเก็บหลังกลางภาค!R40)</f>
        <v/>
      </c>
      <c r="AK37" t="str">
        <f>IF(คะแนนเก็บหลังกลางภาค!S40="","",คะแนนเก็บหลังกลางภาค!S40)</f>
        <v/>
      </c>
      <c r="AL37" t="str">
        <f>IF(คะแนนเก็บหลังกลางภาค!T40="","",คะแนนเก็บหลังกลางภาค!T40)</f>
        <v/>
      </c>
      <c r="AM37" t="str">
        <f>IF(คะแนนเก็บหลังกลางภาค!U40="","",คะแนนเก็บหลังกลางภาค!U40)</f>
        <v/>
      </c>
      <c r="AN37" t="str">
        <f>IF(คะแนนเก็บหลังกลางภาค!V40="","",คะแนนเก็บหลังกลางภาค!V40)</f>
        <v/>
      </c>
      <c r="AO37" t="str">
        <f>IF(คะแนนเก็บหลังกลางภาค!W40="","",คะแนนเก็บหลังกลางภาค!W40)</f>
        <v/>
      </c>
      <c r="AP37" t="str">
        <f>IF(คุณลักษณะอันพึงประสงค์!D40="","",คุณลักษณะอันพึงประสงค์!D40)</f>
        <v/>
      </c>
      <c r="AQ37" t="str">
        <f>IF(คุณลักษณะอันพึงประสงค์!E40="","",คุณลักษณะอันพึงประสงค์!E40)</f>
        <v/>
      </c>
      <c r="AR37" t="str">
        <f>IF(คุณลักษณะอันพึงประสงค์!F40="","",คุณลักษณะอันพึงประสงค์!F40)</f>
        <v/>
      </c>
      <c r="AS37" t="str">
        <f>IF(คุณลักษณะอันพึงประสงค์!G40="","",คุณลักษณะอันพึงประสงค์!G40)</f>
        <v/>
      </c>
      <c r="AT37" t="str">
        <f>IF(คุณลักษณะอันพึงประสงค์!H40="","",คุณลักษณะอันพึงประสงค์!H40)</f>
        <v/>
      </c>
      <c r="AU37" t="str">
        <f>IF(คุณลักษณะอันพึงประสงค์!I40="","",คุณลักษณะอันพึงประสงค์!I40)</f>
        <v/>
      </c>
      <c r="AV37" t="str">
        <f>IF(คุณลักษณะอันพึงประสงค์!J40="","",คุณลักษณะอันพึงประสงค์!J40)</f>
        <v/>
      </c>
      <c r="AW37" t="str">
        <f>IF(คุณลักษณะอันพึงประสงค์!K40="","",คุณลักษณะอันพึงประสงค์!K40)</f>
        <v/>
      </c>
      <c r="AX37" t="str">
        <f>IF(คุณลักษณะอันพึงประสงค์!L40="","",คุณลักษณะอันพึงประสงค์!L40)</f>
        <v/>
      </c>
      <c r="AY37" t="str">
        <f>IF(คุณลักษณะอันพึงประสงค์!M40="","",คุณลักษณะอันพึงประสงค์!M40)</f>
        <v/>
      </c>
      <c r="AZ37" t="str">
        <f>IF(กลางภาค!D40="","",กลางภาค!D40)</f>
        <v/>
      </c>
      <c r="BA37" t="str">
        <f>IF(กลางภาค!E40="","",กลางภาค!E40)</f>
        <v/>
      </c>
      <c r="BB37" t="str">
        <f>IF(กลางภาค!F40="","",กลางภาค!F40)</f>
        <v/>
      </c>
      <c r="BC37" t="str">
        <f>IF(กลางภาค!G40="","",กลางภาค!G40)</f>
        <v/>
      </c>
      <c r="BD37" t="str">
        <f>IF(กลางภาค!H40="","",กลางภาค!H40)</f>
        <v/>
      </c>
      <c r="BE37" t="str">
        <f>IF(กลางภาค!I40="","",กลางภาค!I40)</f>
        <v/>
      </c>
      <c r="BF37" t="str">
        <f>IF(กลางภาค!J40="","",กลางภาค!J40)</f>
        <v/>
      </c>
      <c r="BG37" t="str">
        <f>IF(กลางภาค!K40="","",กลางภาค!K40)</f>
        <v/>
      </c>
      <c r="BH37" t="str">
        <f>IF(กลางภาค!L40="","",กลางภาค!L40)</f>
        <v/>
      </c>
      <c r="BI37" t="str">
        <f>IF(กลางภาค!M40="","",กลางภาค!M40)</f>
        <v/>
      </c>
      <c r="BJ37" t="str">
        <f>IF(ปลายภาค!D40="","",ปลายภาค!D40)</f>
        <v/>
      </c>
      <c r="BK37" t="str">
        <f>IF(ปลายภาค!E40="","",ปลายภาค!E40)</f>
        <v/>
      </c>
      <c r="BL37" t="str">
        <f>IF(ปลายภาค!F40="","",ปลายภาค!F40)</f>
        <v/>
      </c>
      <c r="BM37" t="str">
        <f>IF(ปลายภาค!G40="","",ปลายภาค!G40)</f>
        <v/>
      </c>
      <c r="BN37" t="str">
        <f>IF(ปลายภาค!H40="","",ปลายภาค!H40)</f>
        <v/>
      </c>
      <c r="BO37" t="str">
        <f>IF(ปลายภาค!I40="","",ปลายภาค!I40)</f>
        <v/>
      </c>
      <c r="BP37" t="str">
        <f>IF(ปลายภาค!J40="","",ปลายภาค!J40)</f>
        <v/>
      </c>
      <c r="BQ37" t="str">
        <f>IF(ปลายภาค!K40="","",ปลายภาค!K40)</f>
        <v/>
      </c>
      <c r="BR37" t="str">
        <f>IF(ปลายภาค!L40="","",ปลายภาค!L40)</f>
        <v/>
      </c>
      <c r="BS37" t="str">
        <f>IF(ปลายภาค!M40="","",ปลายภาค!M40)</f>
        <v/>
      </c>
      <c r="BT37" t="str">
        <f>IF(กลางภาค!N40="","",กลางภาค!N40)</f>
        <v/>
      </c>
      <c r="BU37" t="str">
        <f>IF(ปลายภาค!N40="","",ปลายภาค!N40)</f>
        <v/>
      </c>
      <c r="BV37" t="str">
        <f>IF(คุณลักษณะอันพึงประสงค์!X40="","",คุณลักษณะอันพึงประสงค์!X40)</f>
        <v/>
      </c>
      <c r="BW37" t="str">
        <f>IF(อ่านคิดวิเคราะห์!I40="","",อ่านคิดวิเคราะห์!I40)</f>
        <v/>
      </c>
      <c r="BX37" t="str">
        <f>IF(สมรรถนะ!N40="","",สมรรถนะ!N40)</f>
        <v/>
      </c>
      <c r="BY37" t="str">
        <f>IF(อ่านคิดวิเคราะห์!D40="","",อ่านคิดวิเคราะห์!D40)</f>
        <v/>
      </c>
      <c r="BZ37" t="str">
        <f>IF(อ่านคิดวิเคราะห์!E40="","",อ่านคิดวิเคราะห์!E40)</f>
        <v/>
      </c>
      <c r="CA37" t="str">
        <f>IF(อ่านคิดวิเคราะห์!F40="","",อ่านคิดวิเคราะห์!F40)</f>
        <v/>
      </c>
      <c r="CB37" t="str">
        <f>IF(อ่านคิดวิเคราะห์!G40="","",อ่านคิดวิเคราะห์!G40)</f>
        <v/>
      </c>
      <c r="CC37" t="str">
        <f>IF(อ่านคิดวิเคราะห์!H40="","",อ่านคิดวิเคราะห์!H40)</f>
        <v/>
      </c>
      <c r="CD37" t="str">
        <f>IF(สมรรถนะ!D40="","",สมรรถนะ!D40)</f>
        <v/>
      </c>
      <c r="CE37" t="str">
        <f>IF(สมรรถนะ!E40="","",สมรรถนะ!E40)</f>
        <v/>
      </c>
      <c r="CF37" t="str">
        <f>IF(สมรรถนะ!F40="","",สมรรถนะ!F40)</f>
        <v/>
      </c>
      <c r="CG37" t="str">
        <f>IF(สมรรถนะ!G40="","",สมรรถนะ!G40)</f>
        <v/>
      </c>
      <c r="CH37" t="str">
        <f>IF(สมรรถนะ!H40="","",สมรรถนะ!H40)</f>
        <v/>
      </c>
      <c r="CI37" t="str">
        <f>IF(สมรรถนะ!I40="","",สมรรถนะ!I40)</f>
        <v/>
      </c>
      <c r="CJ37" t="str">
        <f>IF(สมรรถนะ!J40="","",สมรรถนะ!J40)</f>
        <v/>
      </c>
      <c r="CK37" t="str">
        <f>IF(สมรรถนะ!K40="","",สมรรถนะ!K40)</f>
        <v/>
      </c>
      <c r="CL37" t="str">
        <f>IF(สมรรถนะ!L40="","",สมรรถนะ!L40)</f>
        <v/>
      </c>
      <c r="CM37" t="str">
        <f>IF(สมรรถนะ!M40="","",สมรรถนะ!M40)</f>
        <v/>
      </c>
      <c r="CN37" t="str">
        <f>IF(คุณลักษณะอันพึงประสงค์!N40="","",คุณลักษณะอันพึงประสงค์!N40)</f>
        <v/>
      </c>
      <c r="CO37" t="str">
        <f>IF(คุณลักษณะอันพึงประสงค์!O40="","",คุณลักษณะอันพึงประสงค์!O40)</f>
        <v/>
      </c>
      <c r="CP37" t="str">
        <f>IF(คุณลักษณะอันพึงประสงค์!P40="","",คุณลักษณะอันพึงประสงค์!P40)</f>
        <v/>
      </c>
      <c r="CQ37" t="str">
        <f>IF(คุณลักษณะอันพึงประสงค์!Q40="","",คุณลักษณะอันพึงประสงค์!Q40)</f>
        <v/>
      </c>
      <c r="CR37" t="str">
        <f>IF(คุณลักษณะอันพึงประสงค์!R40="","",คุณลักษณะอันพึงประสงค์!R40)</f>
        <v/>
      </c>
      <c r="CS37" t="str">
        <f>IF(คุณลักษณะอันพึงประสงค์!S40="","",คุณลักษณะอันพึงประสงค์!S40)</f>
        <v/>
      </c>
      <c r="CT37" t="str">
        <f>IF(คุณลักษณะอันพึงประสงค์!T40="","",คุณลักษณะอันพึงประสงค์!T40)</f>
        <v/>
      </c>
      <c r="CU37" t="str">
        <f>IF(คุณลักษณะอันพึงประสงค์!U40="","",คุณลักษณะอันพึงประสงค์!U40)</f>
        <v/>
      </c>
      <c r="CV37" t="str">
        <f>IF(คุณลักษณะอันพึงประสงค์!V40="","",คุณลักษณะอันพึงประสงค์!V40)</f>
        <v/>
      </c>
      <c r="CW37" t="str">
        <f>IF(คุณลักษณะอันพึงประสงค์!W40="","",คุณลักษณะอันพึงประสงค์!W40)</f>
        <v/>
      </c>
    </row>
    <row r="38" spans="1:101">
      <c r="A38" t="str">
        <f>IF(คะแนนเก็บ!B41="","",คะแนนเก็บ!B41)</f>
        <v/>
      </c>
      <c r="B38" t="str">
        <f>IF(คะแนนเก็บ!D41="","",คะแนนเก็บ!D41)</f>
        <v/>
      </c>
      <c r="C38" t="str">
        <f>IF(คะแนนเก็บ!E41="","",คะแนนเก็บ!E41)</f>
        <v/>
      </c>
      <c r="D38" t="str">
        <f>IF(คะแนนเก็บ!F41="","",คะแนนเก็บ!F41)</f>
        <v/>
      </c>
      <c r="E38" t="str">
        <f>IF(คะแนนเก็บ!G41="","",คะแนนเก็บ!G41)</f>
        <v/>
      </c>
      <c r="F38" t="str">
        <f>IF(คะแนนเก็บ!H41="","",คะแนนเก็บ!H41)</f>
        <v/>
      </c>
      <c r="G38" t="str">
        <f>IF(คะแนนเก็บ!I41="","",คะแนนเก็บ!I41)</f>
        <v/>
      </c>
      <c r="H38" t="str">
        <f>IF(คะแนนเก็บ!J41="","",คะแนนเก็บ!J41)</f>
        <v/>
      </c>
      <c r="I38" t="str">
        <f>IF(คะแนนเก็บ!K41="","",คะแนนเก็บ!K41)</f>
        <v/>
      </c>
      <c r="J38" t="str">
        <f>IF(คะแนนเก็บ!L41="","",คะแนนเก็บ!L41)</f>
        <v/>
      </c>
      <c r="K38" t="str">
        <f>IF(คะแนนเก็บ!M41="","",คะแนนเก็บ!M41)</f>
        <v/>
      </c>
      <c r="L38" t="str">
        <f>IF(คะแนนเก็บ!N41="","",คะแนนเก็บ!N41)</f>
        <v/>
      </c>
      <c r="M38" t="str">
        <f>IF(คะแนนเก็บ!O41="","",คะแนนเก็บ!O41)</f>
        <v/>
      </c>
      <c r="N38" t="str">
        <f>IF(คะแนนเก็บ!P41="","",คะแนนเก็บ!P41)</f>
        <v/>
      </c>
      <c r="O38" t="str">
        <f>IF(คะแนนเก็บ!Q41="","",คะแนนเก็บ!Q41)</f>
        <v/>
      </c>
      <c r="P38" t="str">
        <f>IF(คะแนนเก็บ!R41="","",คะแนนเก็บ!R41)</f>
        <v/>
      </c>
      <c r="Q38" t="str">
        <f>IF(คะแนนเก็บ!S41="","",คะแนนเก็บ!S41)</f>
        <v/>
      </c>
      <c r="R38" t="str">
        <f>IF(คะแนนเก็บ!T41="","",คะแนนเก็บ!T41)</f>
        <v/>
      </c>
      <c r="S38" t="str">
        <f>IF(คะแนนเก็บ!U41="","",คะแนนเก็บ!U41)</f>
        <v/>
      </c>
      <c r="T38" t="str">
        <f>IF(คะแนนเก็บ!V41="","",คะแนนเก็บ!V41)</f>
        <v/>
      </c>
      <c r="U38" t="str">
        <f>IF(คะแนนเก็บ!W41="","",คะแนนเก็บ!W41)</f>
        <v/>
      </c>
      <c r="V38" t="str">
        <f>IF(คะแนนเก็บหลังกลางภาค!D41="","",คะแนนเก็บหลังกลางภาค!D41)</f>
        <v/>
      </c>
      <c r="W38" t="str">
        <f>IF(คะแนนเก็บหลังกลางภาค!E41="","",คะแนนเก็บหลังกลางภาค!E41)</f>
        <v/>
      </c>
      <c r="X38" t="str">
        <f>IF(คะแนนเก็บหลังกลางภาค!F41="","",คะแนนเก็บหลังกลางภาค!F41)</f>
        <v/>
      </c>
      <c r="Y38" t="str">
        <f>IF(คะแนนเก็บหลังกลางภาค!G41="","",คะแนนเก็บหลังกลางภาค!G41)</f>
        <v/>
      </c>
      <c r="Z38" t="str">
        <f>IF(คะแนนเก็บหลังกลางภาค!H41="","",คะแนนเก็บหลังกลางภาค!H41)</f>
        <v/>
      </c>
      <c r="AA38" t="str">
        <f>IF(คะแนนเก็บหลังกลางภาค!I41="","",คะแนนเก็บหลังกลางภาค!I41)</f>
        <v/>
      </c>
      <c r="AB38" t="str">
        <f>IF(คะแนนเก็บหลังกลางภาค!J41="","",คะแนนเก็บหลังกลางภาค!J41)</f>
        <v/>
      </c>
      <c r="AC38" t="str">
        <f>IF(คะแนนเก็บหลังกลางภาค!K41="","",คะแนนเก็บหลังกลางภาค!K41)</f>
        <v/>
      </c>
      <c r="AD38" t="str">
        <f>IF(คะแนนเก็บหลังกลางภาค!L41="","",คะแนนเก็บหลังกลางภาค!L41)</f>
        <v/>
      </c>
      <c r="AE38" t="str">
        <f>IF(คะแนนเก็บหลังกลางภาค!M41="","",คะแนนเก็บหลังกลางภาค!M41)</f>
        <v/>
      </c>
      <c r="AF38" t="str">
        <f>IF(คะแนนเก็บหลังกลางภาค!N41="","",คะแนนเก็บหลังกลางภาค!N41)</f>
        <v/>
      </c>
      <c r="AG38" t="str">
        <f>IF(คะแนนเก็บหลังกลางภาค!O41="","",คะแนนเก็บหลังกลางภาค!O41)</f>
        <v/>
      </c>
      <c r="AH38" t="str">
        <f>IF(คะแนนเก็บหลังกลางภาค!P41="","",คะแนนเก็บหลังกลางภาค!P41)</f>
        <v/>
      </c>
      <c r="AI38" t="str">
        <f>IF(คะแนนเก็บหลังกลางภาค!Q41="","",คะแนนเก็บหลังกลางภาค!Q41)</f>
        <v/>
      </c>
      <c r="AJ38" t="str">
        <f>IF(คะแนนเก็บหลังกลางภาค!R41="","",คะแนนเก็บหลังกลางภาค!R41)</f>
        <v/>
      </c>
      <c r="AK38" t="str">
        <f>IF(คะแนนเก็บหลังกลางภาค!S41="","",คะแนนเก็บหลังกลางภาค!S41)</f>
        <v/>
      </c>
      <c r="AL38" t="str">
        <f>IF(คะแนนเก็บหลังกลางภาค!T41="","",คะแนนเก็บหลังกลางภาค!T41)</f>
        <v/>
      </c>
      <c r="AM38" t="str">
        <f>IF(คะแนนเก็บหลังกลางภาค!U41="","",คะแนนเก็บหลังกลางภาค!U41)</f>
        <v/>
      </c>
      <c r="AN38" t="str">
        <f>IF(คะแนนเก็บหลังกลางภาค!V41="","",คะแนนเก็บหลังกลางภาค!V41)</f>
        <v/>
      </c>
      <c r="AO38" t="str">
        <f>IF(คะแนนเก็บหลังกลางภาค!W41="","",คะแนนเก็บหลังกลางภาค!W41)</f>
        <v/>
      </c>
      <c r="AP38" t="str">
        <f>IF(คุณลักษณะอันพึงประสงค์!D41="","",คุณลักษณะอันพึงประสงค์!D41)</f>
        <v/>
      </c>
      <c r="AQ38" t="str">
        <f>IF(คุณลักษณะอันพึงประสงค์!E41="","",คุณลักษณะอันพึงประสงค์!E41)</f>
        <v/>
      </c>
      <c r="AR38" t="str">
        <f>IF(คุณลักษณะอันพึงประสงค์!F41="","",คุณลักษณะอันพึงประสงค์!F41)</f>
        <v/>
      </c>
      <c r="AS38" t="str">
        <f>IF(คุณลักษณะอันพึงประสงค์!G41="","",คุณลักษณะอันพึงประสงค์!G41)</f>
        <v/>
      </c>
      <c r="AT38" t="str">
        <f>IF(คุณลักษณะอันพึงประสงค์!H41="","",คุณลักษณะอันพึงประสงค์!H41)</f>
        <v/>
      </c>
      <c r="AU38" t="str">
        <f>IF(คุณลักษณะอันพึงประสงค์!I41="","",คุณลักษณะอันพึงประสงค์!I41)</f>
        <v/>
      </c>
      <c r="AV38" t="str">
        <f>IF(คุณลักษณะอันพึงประสงค์!J41="","",คุณลักษณะอันพึงประสงค์!J41)</f>
        <v/>
      </c>
      <c r="AW38" t="str">
        <f>IF(คุณลักษณะอันพึงประสงค์!K41="","",คุณลักษณะอันพึงประสงค์!K41)</f>
        <v/>
      </c>
      <c r="AX38" t="str">
        <f>IF(คุณลักษณะอันพึงประสงค์!L41="","",คุณลักษณะอันพึงประสงค์!L41)</f>
        <v/>
      </c>
      <c r="AY38" t="str">
        <f>IF(คุณลักษณะอันพึงประสงค์!M41="","",คุณลักษณะอันพึงประสงค์!M41)</f>
        <v/>
      </c>
      <c r="AZ38" t="str">
        <f>IF(กลางภาค!D41="","",กลางภาค!D41)</f>
        <v/>
      </c>
      <c r="BA38" t="str">
        <f>IF(กลางภาค!E41="","",กลางภาค!E41)</f>
        <v/>
      </c>
      <c r="BB38" t="str">
        <f>IF(กลางภาค!F41="","",กลางภาค!F41)</f>
        <v/>
      </c>
      <c r="BC38" t="str">
        <f>IF(กลางภาค!G41="","",กลางภาค!G41)</f>
        <v/>
      </c>
      <c r="BD38" t="str">
        <f>IF(กลางภาค!H41="","",กลางภาค!H41)</f>
        <v/>
      </c>
      <c r="BE38" t="str">
        <f>IF(กลางภาค!I41="","",กลางภาค!I41)</f>
        <v/>
      </c>
      <c r="BF38" t="str">
        <f>IF(กลางภาค!J41="","",กลางภาค!J41)</f>
        <v/>
      </c>
      <c r="BG38" t="str">
        <f>IF(กลางภาค!K41="","",กลางภาค!K41)</f>
        <v/>
      </c>
      <c r="BH38" t="str">
        <f>IF(กลางภาค!L41="","",กลางภาค!L41)</f>
        <v/>
      </c>
      <c r="BI38" t="str">
        <f>IF(กลางภาค!M41="","",กลางภาค!M41)</f>
        <v/>
      </c>
      <c r="BJ38" t="str">
        <f>IF(ปลายภาค!D41="","",ปลายภาค!D41)</f>
        <v/>
      </c>
      <c r="BK38" t="str">
        <f>IF(ปลายภาค!E41="","",ปลายภาค!E41)</f>
        <v/>
      </c>
      <c r="BL38" t="str">
        <f>IF(ปลายภาค!F41="","",ปลายภาค!F41)</f>
        <v/>
      </c>
      <c r="BM38" t="str">
        <f>IF(ปลายภาค!G41="","",ปลายภาค!G41)</f>
        <v/>
      </c>
      <c r="BN38" t="str">
        <f>IF(ปลายภาค!H41="","",ปลายภาค!H41)</f>
        <v/>
      </c>
      <c r="BO38" t="str">
        <f>IF(ปลายภาค!I41="","",ปลายภาค!I41)</f>
        <v/>
      </c>
      <c r="BP38" t="str">
        <f>IF(ปลายภาค!J41="","",ปลายภาค!J41)</f>
        <v/>
      </c>
      <c r="BQ38" t="str">
        <f>IF(ปลายภาค!K41="","",ปลายภาค!K41)</f>
        <v/>
      </c>
      <c r="BR38" t="str">
        <f>IF(ปลายภาค!L41="","",ปลายภาค!L41)</f>
        <v/>
      </c>
      <c r="BS38" t="str">
        <f>IF(ปลายภาค!M41="","",ปลายภาค!M41)</f>
        <v/>
      </c>
      <c r="BT38" t="str">
        <f>IF(กลางภาค!N41="","",กลางภาค!N41)</f>
        <v/>
      </c>
      <c r="BU38" t="str">
        <f>IF(ปลายภาค!N41="","",ปลายภาค!N41)</f>
        <v/>
      </c>
      <c r="BV38" t="str">
        <f>IF(คุณลักษณะอันพึงประสงค์!X41="","",คุณลักษณะอันพึงประสงค์!X41)</f>
        <v/>
      </c>
      <c r="BW38" t="str">
        <f>IF(อ่านคิดวิเคราะห์!I41="","",อ่านคิดวิเคราะห์!I41)</f>
        <v/>
      </c>
      <c r="BX38" t="str">
        <f>IF(สมรรถนะ!N41="","",สมรรถนะ!N41)</f>
        <v/>
      </c>
      <c r="BY38" t="str">
        <f>IF(อ่านคิดวิเคราะห์!D41="","",อ่านคิดวิเคราะห์!D41)</f>
        <v/>
      </c>
      <c r="BZ38" t="str">
        <f>IF(อ่านคิดวิเคราะห์!E41="","",อ่านคิดวิเคราะห์!E41)</f>
        <v/>
      </c>
      <c r="CA38" t="str">
        <f>IF(อ่านคิดวิเคราะห์!F41="","",อ่านคิดวิเคราะห์!F41)</f>
        <v/>
      </c>
      <c r="CB38" t="str">
        <f>IF(อ่านคิดวิเคราะห์!G41="","",อ่านคิดวิเคราะห์!G41)</f>
        <v/>
      </c>
      <c r="CC38" t="str">
        <f>IF(อ่านคิดวิเคราะห์!H41="","",อ่านคิดวิเคราะห์!H41)</f>
        <v/>
      </c>
      <c r="CD38" t="str">
        <f>IF(สมรรถนะ!D41="","",สมรรถนะ!D41)</f>
        <v/>
      </c>
      <c r="CE38" t="str">
        <f>IF(สมรรถนะ!E41="","",สมรรถนะ!E41)</f>
        <v/>
      </c>
      <c r="CF38" t="str">
        <f>IF(สมรรถนะ!F41="","",สมรรถนะ!F41)</f>
        <v/>
      </c>
      <c r="CG38" t="str">
        <f>IF(สมรรถนะ!G41="","",สมรรถนะ!G41)</f>
        <v/>
      </c>
      <c r="CH38" t="str">
        <f>IF(สมรรถนะ!H41="","",สมรรถนะ!H41)</f>
        <v/>
      </c>
      <c r="CI38" t="str">
        <f>IF(สมรรถนะ!I41="","",สมรรถนะ!I41)</f>
        <v/>
      </c>
      <c r="CJ38" t="str">
        <f>IF(สมรรถนะ!J41="","",สมรรถนะ!J41)</f>
        <v/>
      </c>
      <c r="CK38" t="str">
        <f>IF(สมรรถนะ!K41="","",สมรรถนะ!K41)</f>
        <v/>
      </c>
      <c r="CL38" t="str">
        <f>IF(สมรรถนะ!L41="","",สมรรถนะ!L41)</f>
        <v/>
      </c>
      <c r="CM38" t="str">
        <f>IF(สมรรถนะ!M41="","",สมรรถนะ!M41)</f>
        <v/>
      </c>
      <c r="CN38" t="str">
        <f>IF(คุณลักษณะอันพึงประสงค์!N41="","",คุณลักษณะอันพึงประสงค์!N41)</f>
        <v/>
      </c>
      <c r="CO38" t="str">
        <f>IF(คุณลักษณะอันพึงประสงค์!O41="","",คุณลักษณะอันพึงประสงค์!O41)</f>
        <v/>
      </c>
      <c r="CP38" t="str">
        <f>IF(คุณลักษณะอันพึงประสงค์!P41="","",คุณลักษณะอันพึงประสงค์!P41)</f>
        <v/>
      </c>
      <c r="CQ38" t="str">
        <f>IF(คุณลักษณะอันพึงประสงค์!Q41="","",คุณลักษณะอันพึงประสงค์!Q41)</f>
        <v/>
      </c>
      <c r="CR38" t="str">
        <f>IF(คุณลักษณะอันพึงประสงค์!R41="","",คุณลักษณะอันพึงประสงค์!R41)</f>
        <v/>
      </c>
      <c r="CS38" t="str">
        <f>IF(คุณลักษณะอันพึงประสงค์!S41="","",คุณลักษณะอันพึงประสงค์!S41)</f>
        <v/>
      </c>
      <c r="CT38" t="str">
        <f>IF(คุณลักษณะอันพึงประสงค์!T41="","",คุณลักษณะอันพึงประสงค์!T41)</f>
        <v/>
      </c>
      <c r="CU38" t="str">
        <f>IF(คุณลักษณะอันพึงประสงค์!U41="","",คุณลักษณะอันพึงประสงค์!U41)</f>
        <v/>
      </c>
      <c r="CV38" t="str">
        <f>IF(คุณลักษณะอันพึงประสงค์!V41="","",คุณลักษณะอันพึงประสงค์!V41)</f>
        <v/>
      </c>
      <c r="CW38" t="str">
        <f>IF(คุณลักษณะอันพึงประสงค์!W41="","",คุณลักษณะอันพึงประสงค์!W41)</f>
        <v/>
      </c>
    </row>
    <row r="39" spans="1:101">
      <c r="A39" t="str">
        <f>IF(คะแนนเก็บ!B42="","",คะแนนเก็บ!B42)</f>
        <v/>
      </c>
      <c r="B39" t="str">
        <f>IF(คะแนนเก็บ!D42="","",คะแนนเก็บ!D42)</f>
        <v/>
      </c>
      <c r="C39" t="str">
        <f>IF(คะแนนเก็บ!E42="","",คะแนนเก็บ!E42)</f>
        <v/>
      </c>
      <c r="D39" t="str">
        <f>IF(คะแนนเก็บ!F42="","",คะแนนเก็บ!F42)</f>
        <v/>
      </c>
      <c r="E39" t="str">
        <f>IF(คะแนนเก็บ!G42="","",คะแนนเก็บ!G42)</f>
        <v/>
      </c>
      <c r="F39" t="str">
        <f>IF(คะแนนเก็บ!H42="","",คะแนนเก็บ!H42)</f>
        <v/>
      </c>
      <c r="G39" t="str">
        <f>IF(คะแนนเก็บ!I42="","",คะแนนเก็บ!I42)</f>
        <v/>
      </c>
      <c r="H39" t="str">
        <f>IF(คะแนนเก็บ!J42="","",คะแนนเก็บ!J42)</f>
        <v/>
      </c>
      <c r="I39" t="str">
        <f>IF(คะแนนเก็บ!K42="","",คะแนนเก็บ!K42)</f>
        <v/>
      </c>
      <c r="J39" t="str">
        <f>IF(คะแนนเก็บ!L42="","",คะแนนเก็บ!L42)</f>
        <v/>
      </c>
      <c r="K39" t="str">
        <f>IF(คะแนนเก็บ!M42="","",คะแนนเก็บ!M42)</f>
        <v/>
      </c>
      <c r="L39" t="str">
        <f>IF(คะแนนเก็บ!N42="","",คะแนนเก็บ!N42)</f>
        <v/>
      </c>
      <c r="M39" t="str">
        <f>IF(คะแนนเก็บ!O42="","",คะแนนเก็บ!O42)</f>
        <v/>
      </c>
      <c r="N39" t="str">
        <f>IF(คะแนนเก็บ!P42="","",คะแนนเก็บ!P42)</f>
        <v/>
      </c>
      <c r="O39" t="str">
        <f>IF(คะแนนเก็บ!Q42="","",คะแนนเก็บ!Q42)</f>
        <v/>
      </c>
      <c r="P39" t="str">
        <f>IF(คะแนนเก็บ!R42="","",คะแนนเก็บ!R42)</f>
        <v/>
      </c>
      <c r="Q39" t="str">
        <f>IF(คะแนนเก็บ!S42="","",คะแนนเก็บ!S42)</f>
        <v/>
      </c>
      <c r="R39" t="str">
        <f>IF(คะแนนเก็บ!T42="","",คะแนนเก็บ!T42)</f>
        <v/>
      </c>
      <c r="S39" t="str">
        <f>IF(คะแนนเก็บ!U42="","",คะแนนเก็บ!U42)</f>
        <v/>
      </c>
      <c r="T39" t="str">
        <f>IF(คะแนนเก็บ!V42="","",คะแนนเก็บ!V42)</f>
        <v/>
      </c>
      <c r="U39" t="str">
        <f>IF(คะแนนเก็บ!W42="","",คะแนนเก็บ!W42)</f>
        <v/>
      </c>
      <c r="V39" t="str">
        <f>IF(คะแนนเก็บหลังกลางภาค!D42="","",คะแนนเก็บหลังกลางภาค!D42)</f>
        <v/>
      </c>
      <c r="W39" t="str">
        <f>IF(คะแนนเก็บหลังกลางภาค!E42="","",คะแนนเก็บหลังกลางภาค!E42)</f>
        <v/>
      </c>
      <c r="X39" t="str">
        <f>IF(คะแนนเก็บหลังกลางภาค!F42="","",คะแนนเก็บหลังกลางภาค!F42)</f>
        <v/>
      </c>
      <c r="Y39" t="str">
        <f>IF(คะแนนเก็บหลังกลางภาค!G42="","",คะแนนเก็บหลังกลางภาค!G42)</f>
        <v/>
      </c>
      <c r="Z39" t="str">
        <f>IF(คะแนนเก็บหลังกลางภาค!H42="","",คะแนนเก็บหลังกลางภาค!H42)</f>
        <v/>
      </c>
      <c r="AA39" t="str">
        <f>IF(คะแนนเก็บหลังกลางภาค!I42="","",คะแนนเก็บหลังกลางภาค!I42)</f>
        <v/>
      </c>
      <c r="AB39" t="str">
        <f>IF(คะแนนเก็บหลังกลางภาค!J42="","",คะแนนเก็บหลังกลางภาค!J42)</f>
        <v/>
      </c>
      <c r="AC39" t="str">
        <f>IF(คะแนนเก็บหลังกลางภาค!K42="","",คะแนนเก็บหลังกลางภาค!K42)</f>
        <v/>
      </c>
      <c r="AD39" t="str">
        <f>IF(คะแนนเก็บหลังกลางภาค!L42="","",คะแนนเก็บหลังกลางภาค!L42)</f>
        <v/>
      </c>
      <c r="AE39" t="str">
        <f>IF(คะแนนเก็บหลังกลางภาค!M42="","",คะแนนเก็บหลังกลางภาค!M42)</f>
        <v/>
      </c>
      <c r="AF39" t="str">
        <f>IF(คะแนนเก็บหลังกลางภาค!N42="","",คะแนนเก็บหลังกลางภาค!N42)</f>
        <v/>
      </c>
      <c r="AG39" t="str">
        <f>IF(คะแนนเก็บหลังกลางภาค!O42="","",คะแนนเก็บหลังกลางภาค!O42)</f>
        <v/>
      </c>
      <c r="AH39" t="str">
        <f>IF(คะแนนเก็บหลังกลางภาค!P42="","",คะแนนเก็บหลังกลางภาค!P42)</f>
        <v/>
      </c>
      <c r="AI39" t="str">
        <f>IF(คะแนนเก็บหลังกลางภาค!Q42="","",คะแนนเก็บหลังกลางภาค!Q42)</f>
        <v/>
      </c>
      <c r="AJ39" t="str">
        <f>IF(คะแนนเก็บหลังกลางภาค!R42="","",คะแนนเก็บหลังกลางภาค!R42)</f>
        <v/>
      </c>
      <c r="AK39" t="str">
        <f>IF(คะแนนเก็บหลังกลางภาค!S42="","",คะแนนเก็บหลังกลางภาค!S42)</f>
        <v/>
      </c>
      <c r="AL39" t="str">
        <f>IF(คะแนนเก็บหลังกลางภาค!T42="","",คะแนนเก็บหลังกลางภาค!T42)</f>
        <v/>
      </c>
      <c r="AM39" t="str">
        <f>IF(คะแนนเก็บหลังกลางภาค!U42="","",คะแนนเก็บหลังกลางภาค!U42)</f>
        <v/>
      </c>
      <c r="AN39" t="str">
        <f>IF(คะแนนเก็บหลังกลางภาค!V42="","",คะแนนเก็บหลังกลางภาค!V42)</f>
        <v/>
      </c>
      <c r="AO39" t="str">
        <f>IF(คะแนนเก็บหลังกลางภาค!W42="","",คะแนนเก็บหลังกลางภาค!W42)</f>
        <v/>
      </c>
      <c r="AP39" t="str">
        <f>IF(คุณลักษณะอันพึงประสงค์!D42="","",คุณลักษณะอันพึงประสงค์!D42)</f>
        <v/>
      </c>
      <c r="AQ39" t="str">
        <f>IF(คุณลักษณะอันพึงประสงค์!E42="","",คุณลักษณะอันพึงประสงค์!E42)</f>
        <v/>
      </c>
      <c r="AR39" t="str">
        <f>IF(คุณลักษณะอันพึงประสงค์!F42="","",คุณลักษณะอันพึงประสงค์!F42)</f>
        <v/>
      </c>
      <c r="AS39" t="str">
        <f>IF(คุณลักษณะอันพึงประสงค์!G42="","",คุณลักษณะอันพึงประสงค์!G42)</f>
        <v/>
      </c>
      <c r="AT39" t="str">
        <f>IF(คุณลักษณะอันพึงประสงค์!H42="","",คุณลักษณะอันพึงประสงค์!H42)</f>
        <v/>
      </c>
      <c r="AU39" t="str">
        <f>IF(คุณลักษณะอันพึงประสงค์!I42="","",คุณลักษณะอันพึงประสงค์!I42)</f>
        <v/>
      </c>
      <c r="AV39" t="str">
        <f>IF(คุณลักษณะอันพึงประสงค์!J42="","",คุณลักษณะอันพึงประสงค์!J42)</f>
        <v/>
      </c>
      <c r="AW39" t="str">
        <f>IF(คุณลักษณะอันพึงประสงค์!K42="","",คุณลักษณะอันพึงประสงค์!K42)</f>
        <v/>
      </c>
      <c r="AX39" t="str">
        <f>IF(คุณลักษณะอันพึงประสงค์!L42="","",คุณลักษณะอันพึงประสงค์!L42)</f>
        <v/>
      </c>
      <c r="AY39" t="str">
        <f>IF(คุณลักษณะอันพึงประสงค์!M42="","",คุณลักษณะอันพึงประสงค์!M42)</f>
        <v/>
      </c>
      <c r="AZ39" t="str">
        <f>IF(กลางภาค!D42="","",กลางภาค!D42)</f>
        <v/>
      </c>
      <c r="BA39" t="str">
        <f>IF(กลางภาค!E42="","",กลางภาค!E42)</f>
        <v/>
      </c>
      <c r="BB39" t="str">
        <f>IF(กลางภาค!F42="","",กลางภาค!F42)</f>
        <v/>
      </c>
      <c r="BC39" t="str">
        <f>IF(กลางภาค!G42="","",กลางภาค!G42)</f>
        <v/>
      </c>
      <c r="BD39" t="str">
        <f>IF(กลางภาค!H42="","",กลางภาค!H42)</f>
        <v/>
      </c>
      <c r="BE39" t="str">
        <f>IF(กลางภาค!I42="","",กลางภาค!I42)</f>
        <v/>
      </c>
      <c r="BF39" t="str">
        <f>IF(กลางภาค!J42="","",กลางภาค!J42)</f>
        <v/>
      </c>
      <c r="BG39" t="str">
        <f>IF(กลางภาค!K42="","",กลางภาค!K42)</f>
        <v/>
      </c>
      <c r="BH39" t="str">
        <f>IF(กลางภาค!L42="","",กลางภาค!L42)</f>
        <v/>
      </c>
      <c r="BI39" t="str">
        <f>IF(กลางภาค!M42="","",กลางภาค!M42)</f>
        <v/>
      </c>
      <c r="BJ39" t="str">
        <f>IF(ปลายภาค!D42="","",ปลายภาค!D42)</f>
        <v/>
      </c>
      <c r="BK39" t="str">
        <f>IF(ปลายภาค!E42="","",ปลายภาค!E42)</f>
        <v/>
      </c>
      <c r="BL39" t="str">
        <f>IF(ปลายภาค!F42="","",ปลายภาค!F42)</f>
        <v/>
      </c>
      <c r="BM39" t="str">
        <f>IF(ปลายภาค!G42="","",ปลายภาค!G42)</f>
        <v/>
      </c>
      <c r="BN39" t="str">
        <f>IF(ปลายภาค!H42="","",ปลายภาค!H42)</f>
        <v/>
      </c>
      <c r="BO39" t="str">
        <f>IF(ปลายภาค!I42="","",ปลายภาค!I42)</f>
        <v/>
      </c>
      <c r="BP39" t="str">
        <f>IF(ปลายภาค!J42="","",ปลายภาค!J42)</f>
        <v/>
      </c>
      <c r="BQ39" t="str">
        <f>IF(ปลายภาค!K42="","",ปลายภาค!K42)</f>
        <v/>
      </c>
      <c r="BR39" t="str">
        <f>IF(ปลายภาค!L42="","",ปลายภาค!L42)</f>
        <v/>
      </c>
      <c r="BS39" t="str">
        <f>IF(ปลายภาค!M42="","",ปลายภาค!M42)</f>
        <v/>
      </c>
      <c r="BT39" t="str">
        <f>IF(กลางภาค!N42="","",กลางภาค!N42)</f>
        <v/>
      </c>
      <c r="BU39" t="str">
        <f>IF(ปลายภาค!N42="","",ปลายภาค!N42)</f>
        <v/>
      </c>
      <c r="BV39" t="str">
        <f>IF(คุณลักษณะอันพึงประสงค์!X42="","",คุณลักษณะอันพึงประสงค์!X42)</f>
        <v/>
      </c>
      <c r="BW39" t="str">
        <f>IF(อ่านคิดวิเคราะห์!I42="","",อ่านคิดวิเคราะห์!I42)</f>
        <v/>
      </c>
      <c r="BX39" t="str">
        <f>IF(สมรรถนะ!N42="","",สมรรถนะ!N42)</f>
        <v/>
      </c>
      <c r="BY39" t="str">
        <f>IF(อ่านคิดวิเคราะห์!D42="","",อ่านคิดวิเคราะห์!D42)</f>
        <v/>
      </c>
      <c r="BZ39" t="str">
        <f>IF(อ่านคิดวิเคราะห์!E42="","",อ่านคิดวิเคราะห์!E42)</f>
        <v/>
      </c>
      <c r="CA39" t="str">
        <f>IF(อ่านคิดวิเคราะห์!F42="","",อ่านคิดวิเคราะห์!F42)</f>
        <v/>
      </c>
      <c r="CB39" t="str">
        <f>IF(อ่านคิดวิเคราะห์!G42="","",อ่านคิดวิเคราะห์!G42)</f>
        <v/>
      </c>
      <c r="CC39" t="str">
        <f>IF(อ่านคิดวิเคราะห์!H42="","",อ่านคิดวิเคราะห์!H42)</f>
        <v/>
      </c>
      <c r="CD39" t="str">
        <f>IF(สมรรถนะ!D42="","",สมรรถนะ!D42)</f>
        <v/>
      </c>
      <c r="CE39" t="str">
        <f>IF(สมรรถนะ!E42="","",สมรรถนะ!E42)</f>
        <v/>
      </c>
      <c r="CF39" t="str">
        <f>IF(สมรรถนะ!F42="","",สมรรถนะ!F42)</f>
        <v/>
      </c>
      <c r="CG39" t="str">
        <f>IF(สมรรถนะ!G42="","",สมรรถนะ!G42)</f>
        <v/>
      </c>
      <c r="CH39" t="str">
        <f>IF(สมรรถนะ!H42="","",สมรรถนะ!H42)</f>
        <v/>
      </c>
      <c r="CI39" t="str">
        <f>IF(สมรรถนะ!I42="","",สมรรถนะ!I42)</f>
        <v/>
      </c>
      <c r="CJ39" t="str">
        <f>IF(สมรรถนะ!J42="","",สมรรถนะ!J42)</f>
        <v/>
      </c>
      <c r="CK39" t="str">
        <f>IF(สมรรถนะ!K42="","",สมรรถนะ!K42)</f>
        <v/>
      </c>
      <c r="CL39" t="str">
        <f>IF(สมรรถนะ!L42="","",สมรรถนะ!L42)</f>
        <v/>
      </c>
      <c r="CM39" t="str">
        <f>IF(สมรรถนะ!M42="","",สมรรถนะ!M42)</f>
        <v/>
      </c>
      <c r="CN39" t="str">
        <f>IF(คุณลักษณะอันพึงประสงค์!N42="","",คุณลักษณะอันพึงประสงค์!N42)</f>
        <v/>
      </c>
      <c r="CO39" t="str">
        <f>IF(คุณลักษณะอันพึงประสงค์!O42="","",คุณลักษณะอันพึงประสงค์!O42)</f>
        <v/>
      </c>
      <c r="CP39" t="str">
        <f>IF(คุณลักษณะอันพึงประสงค์!P42="","",คุณลักษณะอันพึงประสงค์!P42)</f>
        <v/>
      </c>
      <c r="CQ39" t="str">
        <f>IF(คุณลักษณะอันพึงประสงค์!Q42="","",คุณลักษณะอันพึงประสงค์!Q42)</f>
        <v/>
      </c>
      <c r="CR39" t="str">
        <f>IF(คุณลักษณะอันพึงประสงค์!R42="","",คุณลักษณะอันพึงประสงค์!R42)</f>
        <v/>
      </c>
      <c r="CS39" t="str">
        <f>IF(คุณลักษณะอันพึงประสงค์!S42="","",คุณลักษณะอันพึงประสงค์!S42)</f>
        <v/>
      </c>
      <c r="CT39" t="str">
        <f>IF(คุณลักษณะอันพึงประสงค์!T42="","",คุณลักษณะอันพึงประสงค์!T42)</f>
        <v/>
      </c>
      <c r="CU39" t="str">
        <f>IF(คุณลักษณะอันพึงประสงค์!U42="","",คุณลักษณะอันพึงประสงค์!U42)</f>
        <v/>
      </c>
      <c r="CV39" t="str">
        <f>IF(คุณลักษณะอันพึงประสงค์!V42="","",คุณลักษณะอันพึงประสงค์!V42)</f>
        <v/>
      </c>
      <c r="CW39" t="str">
        <f>IF(คุณลักษณะอันพึงประสงค์!W42="","",คุณลักษณะอันพึงประสงค์!W42)</f>
        <v/>
      </c>
    </row>
    <row r="40" spans="1:101">
      <c r="A40" t="str">
        <f>IF(คะแนนเก็บ!B43="","",คะแนนเก็บ!B43)</f>
        <v/>
      </c>
      <c r="B40" t="str">
        <f>IF(คะแนนเก็บ!D43="","",คะแนนเก็บ!D43)</f>
        <v/>
      </c>
      <c r="C40" t="str">
        <f>IF(คะแนนเก็บ!E43="","",คะแนนเก็บ!E43)</f>
        <v/>
      </c>
      <c r="D40" t="str">
        <f>IF(คะแนนเก็บ!F43="","",คะแนนเก็บ!F43)</f>
        <v/>
      </c>
      <c r="E40" t="str">
        <f>IF(คะแนนเก็บ!G43="","",คะแนนเก็บ!G43)</f>
        <v/>
      </c>
      <c r="F40" t="str">
        <f>IF(คะแนนเก็บ!H43="","",คะแนนเก็บ!H43)</f>
        <v/>
      </c>
      <c r="G40" t="str">
        <f>IF(คะแนนเก็บ!I43="","",คะแนนเก็บ!I43)</f>
        <v/>
      </c>
      <c r="H40" t="str">
        <f>IF(คะแนนเก็บ!J43="","",คะแนนเก็บ!J43)</f>
        <v/>
      </c>
      <c r="I40" t="str">
        <f>IF(คะแนนเก็บ!K43="","",คะแนนเก็บ!K43)</f>
        <v/>
      </c>
      <c r="J40" t="str">
        <f>IF(คะแนนเก็บ!L43="","",คะแนนเก็บ!L43)</f>
        <v/>
      </c>
      <c r="K40" t="str">
        <f>IF(คะแนนเก็บ!M43="","",คะแนนเก็บ!M43)</f>
        <v/>
      </c>
      <c r="L40" t="str">
        <f>IF(คะแนนเก็บ!N43="","",คะแนนเก็บ!N43)</f>
        <v/>
      </c>
      <c r="M40" t="str">
        <f>IF(คะแนนเก็บ!O43="","",คะแนนเก็บ!O43)</f>
        <v/>
      </c>
      <c r="N40" t="str">
        <f>IF(คะแนนเก็บ!P43="","",คะแนนเก็บ!P43)</f>
        <v/>
      </c>
      <c r="O40" t="str">
        <f>IF(คะแนนเก็บ!Q43="","",คะแนนเก็บ!Q43)</f>
        <v/>
      </c>
      <c r="P40" t="str">
        <f>IF(คะแนนเก็บ!R43="","",คะแนนเก็บ!R43)</f>
        <v/>
      </c>
      <c r="Q40" t="str">
        <f>IF(คะแนนเก็บ!S43="","",คะแนนเก็บ!S43)</f>
        <v/>
      </c>
      <c r="R40" t="str">
        <f>IF(คะแนนเก็บ!T43="","",คะแนนเก็บ!T43)</f>
        <v/>
      </c>
      <c r="S40" t="str">
        <f>IF(คะแนนเก็บ!U43="","",คะแนนเก็บ!U43)</f>
        <v/>
      </c>
      <c r="T40" t="str">
        <f>IF(คะแนนเก็บ!V43="","",คะแนนเก็บ!V43)</f>
        <v/>
      </c>
      <c r="U40" t="str">
        <f>IF(คะแนนเก็บ!W43="","",คะแนนเก็บ!W43)</f>
        <v/>
      </c>
      <c r="V40" t="str">
        <f>IF(คะแนนเก็บหลังกลางภาค!D43="","",คะแนนเก็บหลังกลางภาค!D43)</f>
        <v/>
      </c>
      <c r="W40" t="str">
        <f>IF(คะแนนเก็บหลังกลางภาค!E43="","",คะแนนเก็บหลังกลางภาค!E43)</f>
        <v/>
      </c>
      <c r="X40" t="str">
        <f>IF(คะแนนเก็บหลังกลางภาค!F43="","",คะแนนเก็บหลังกลางภาค!F43)</f>
        <v/>
      </c>
      <c r="Y40" t="str">
        <f>IF(คะแนนเก็บหลังกลางภาค!G43="","",คะแนนเก็บหลังกลางภาค!G43)</f>
        <v/>
      </c>
      <c r="Z40" t="str">
        <f>IF(คะแนนเก็บหลังกลางภาค!H43="","",คะแนนเก็บหลังกลางภาค!H43)</f>
        <v/>
      </c>
      <c r="AA40" t="str">
        <f>IF(คะแนนเก็บหลังกลางภาค!I43="","",คะแนนเก็บหลังกลางภาค!I43)</f>
        <v/>
      </c>
      <c r="AB40" t="str">
        <f>IF(คะแนนเก็บหลังกลางภาค!J43="","",คะแนนเก็บหลังกลางภาค!J43)</f>
        <v/>
      </c>
      <c r="AC40" t="str">
        <f>IF(คะแนนเก็บหลังกลางภาค!K43="","",คะแนนเก็บหลังกลางภาค!K43)</f>
        <v/>
      </c>
      <c r="AD40" t="str">
        <f>IF(คะแนนเก็บหลังกลางภาค!L43="","",คะแนนเก็บหลังกลางภาค!L43)</f>
        <v/>
      </c>
      <c r="AE40" t="str">
        <f>IF(คะแนนเก็บหลังกลางภาค!M43="","",คะแนนเก็บหลังกลางภาค!M43)</f>
        <v/>
      </c>
      <c r="AF40" t="str">
        <f>IF(คะแนนเก็บหลังกลางภาค!N43="","",คะแนนเก็บหลังกลางภาค!N43)</f>
        <v/>
      </c>
      <c r="AG40" t="str">
        <f>IF(คะแนนเก็บหลังกลางภาค!O43="","",คะแนนเก็บหลังกลางภาค!O43)</f>
        <v/>
      </c>
      <c r="AH40" t="str">
        <f>IF(คะแนนเก็บหลังกลางภาค!P43="","",คะแนนเก็บหลังกลางภาค!P43)</f>
        <v/>
      </c>
      <c r="AI40" t="str">
        <f>IF(คะแนนเก็บหลังกลางภาค!Q43="","",คะแนนเก็บหลังกลางภาค!Q43)</f>
        <v/>
      </c>
      <c r="AJ40" t="str">
        <f>IF(คะแนนเก็บหลังกลางภาค!R43="","",คะแนนเก็บหลังกลางภาค!R43)</f>
        <v/>
      </c>
      <c r="AK40" t="str">
        <f>IF(คะแนนเก็บหลังกลางภาค!S43="","",คะแนนเก็บหลังกลางภาค!S43)</f>
        <v/>
      </c>
      <c r="AL40" t="str">
        <f>IF(คะแนนเก็บหลังกลางภาค!T43="","",คะแนนเก็บหลังกลางภาค!T43)</f>
        <v/>
      </c>
      <c r="AM40" t="str">
        <f>IF(คะแนนเก็บหลังกลางภาค!U43="","",คะแนนเก็บหลังกลางภาค!U43)</f>
        <v/>
      </c>
      <c r="AN40" t="str">
        <f>IF(คะแนนเก็บหลังกลางภาค!V43="","",คะแนนเก็บหลังกลางภาค!V43)</f>
        <v/>
      </c>
      <c r="AO40" t="str">
        <f>IF(คะแนนเก็บหลังกลางภาค!W43="","",คะแนนเก็บหลังกลางภาค!W43)</f>
        <v/>
      </c>
      <c r="AP40" t="str">
        <f>IF(คุณลักษณะอันพึงประสงค์!D43="","",คุณลักษณะอันพึงประสงค์!D43)</f>
        <v/>
      </c>
      <c r="AQ40" t="str">
        <f>IF(คุณลักษณะอันพึงประสงค์!E43="","",คุณลักษณะอันพึงประสงค์!E43)</f>
        <v/>
      </c>
      <c r="AR40" t="str">
        <f>IF(คุณลักษณะอันพึงประสงค์!F43="","",คุณลักษณะอันพึงประสงค์!F43)</f>
        <v/>
      </c>
      <c r="AS40" t="str">
        <f>IF(คุณลักษณะอันพึงประสงค์!G43="","",คุณลักษณะอันพึงประสงค์!G43)</f>
        <v/>
      </c>
      <c r="AT40" t="str">
        <f>IF(คุณลักษณะอันพึงประสงค์!H43="","",คุณลักษณะอันพึงประสงค์!H43)</f>
        <v/>
      </c>
      <c r="AU40" t="str">
        <f>IF(คุณลักษณะอันพึงประสงค์!I43="","",คุณลักษณะอันพึงประสงค์!I43)</f>
        <v/>
      </c>
      <c r="AV40" t="str">
        <f>IF(คุณลักษณะอันพึงประสงค์!J43="","",คุณลักษณะอันพึงประสงค์!J43)</f>
        <v/>
      </c>
      <c r="AW40" t="str">
        <f>IF(คุณลักษณะอันพึงประสงค์!K43="","",คุณลักษณะอันพึงประสงค์!K43)</f>
        <v/>
      </c>
      <c r="AX40" t="str">
        <f>IF(คุณลักษณะอันพึงประสงค์!L43="","",คุณลักษณะอันพึงประสงค์!L43)</f>
        <v/>
      </c>
      <c r="AY40" t="str">
        <f>IF(คุณลักษณะอันพึงประสงค์!M43="","",คุณลักษณะอันพึงประสงค์!M43)</f>
        <v/>
      </c>
      <c r="AZ40" t="str">
        <f>IF(กลางภาค!D43="","",กลางภาค!D43)</f>
        <v/>
      </c>
      <c r="BA40" t="str">
        <f>IF(กลางภาค!E43="","",กลางภาค!E43)</f>
        <v/>
      </c>
      <c r="BB40" t="str">
        <f>IF(กลางภาค!F43="","",กลางภาค!F43)</f>
        <v/>
      </c>
      <c r="BC40" t="str">
        <f>IF(กลางภาค!G43="","",กลางภาค!G43)</f>
        <v/>
      </c>
      <c r="BD40" t="str">
        <f>IF(กลางภาค!H43="","",กลางภาค!H43)</f>
        <v/>
      </c>
      <c r="BE40" t="str">
        <f>IF(กลางภาค!I43="","",กลางภาค!I43)</f>
        <v/>
      </c>
      <c r="BF40" t="str">
        <f>IF(กลางภาค!J43="","",กลางภาค!J43)</f>
        <v/>
      </c>
      <c r="BG40" t="str">
        <f>IF(กลางภาค!K43="","",กลางภาค!K43)</f>
        <v/>
      </c>
      <c r="BH40" t="str">
        <f>IF(กลางภาค!L43="","",กลางภาค!L43)</f>
        <v/>
      </c>
      <c r="BI40" t="str">
        <f>IF(กลางภาค!M43="","",กลางภาค!M43)</f>
        <v/>
      </c>
      <c r="BJ40" t="str">
        <f>IF(ปลายภาค!D43="","",ปลายภาค!D43)</f>
        <v/>
      </c>
      <c r="BK40" t="str">
        <f>IF(ปลายภาค!E43="","",ปลายภาค!E43)</f>
        <v/>
      </c>
      <c r="BL40" t="str">
        <f>IF(ปลายภาค!F43="","",ปลายภาค!F43)</f>
        <v/>
      </c>
      <c r="BM40" t="str">
        <f>IF(ปลายภาค!G43="","",ปลายภาค!G43)</f>
        <v/>
      </c>
      <c r="BN40" t="str">
        <f>IF(ปลายภาค!H43="","",ปลายภาค!H43)</f>
        <v/>
      </c>
      <c r="BO40" t="str">
        <f>IF(ปลายภาค!I43="","",ปลายภาค!I43)</f>
        <v/>
      </c>
      <c r="BP40" t="str">
        <f>IF(ปลายภาค!J43="","",ปลายภาค!J43)</f>
        <v/>
      </c>
      <c r="BQ40" t="str">
        <f>IF(ปลายภาค!K43="","",ปลายภาค!K43)</f>
        <v/>
      </c>
      <c r="BR40" t="str">
        <f>IF(ปลายภาค!L43="","",ปลายภาค!L43)</f>
        <v/>
      </c>
      <c r="BS40" t="str">
        <f>IF(ปลายภาค!M43="","",ปลายภาค!M43)</f>
        <v/>
      </c>
      <c r="BT40" t="str">
        <f>IF(กลางภาค!N43="","",กลางภาค!N43)</f>
        <v/>
      </c>
      <c r="BU40" t="str">
        <f>IF(ปลายภาค!N43="","",ปลายภาค!N43)</f>
        <v/>
      </c>
      <c r="BV40" t="str">
        <f>IF(คุณลักษณะอันพึงประสงค์!X43="","",คุณลักษณะอันพึงประสงค์!X43)</f>
        <v/>
      </c>
      <c r="BW40" t="str">
        <f>IF(อ่านคิดวิเคราะห์!I43="","",อ่านคิดวิเคราะห์!I43)</f>
        <v/>
      </c>
      <c r="BX40" t="str">
        <f>IF(สมรรถนะ!N43="","",สมรรถนะ!N43)</f>
        <v/>
      </c>
      <c r="BY40" t="str">
        <f>IF(อ่านคิดวิเคราะห์!D43="","",อ่านคิดวิเคราะห์!D43)</f>
        <v/>
      </c>
      <c r="BZ40" t="str">
        <f>IF(อ่านคิดวิเคราะห์!E43="","",อ่านคิดวิเคราะห์!E43)</f>
        <v/>
      </c>
      <c r="CA40" t="str">
        <f>IF(อ่านคิดวิเคราะห์!F43="","",อ่านคิดวิเคราะห์!F43)</f>
        <v/>
      </c>
      <c r="CB40" t="str">
        <f>IF(อ่านคิดวิเคราะห์!G43="","",อ่านคิดวิเคราะห์!G43)</f>
        <v/>
      </c>
      <c r="CC40" t="str">
        <f>IF(อ่านคิดวิเคราะห์!H43="","",อ่านคิดวิเคราะห์!H43)</f>
        <v/>
      </c>
      <c r="CD40" t="str">
        <f>IF(สมรรถนะ!D43="","",สมรรถนะ!D43)</f>
        <v/>
      </c>
      <c r="CE40" t="str">
        <f>IF(สมรรถนะ!E43="","",สมรรถนะ!E43)</f>
        <v/>
      </c>
      <c r="CF40" t="str">
        <f>IF(สมรรถนะ!F43="","",สมรรถนะ!F43)</f>
        <v/>
      </c>
      <c r="CG40" t="str">
        <f>IF(สมรรถนะ!G43="","",สมรรถนะ!G43)</f>
        <v/>
      </c>
      <c r="CH40" t="str">
        <f>IF(สมรรถนะ!H43="","",สมรรถนะ!H43)</f>
        <v/>
      </c>
      <c r="CI40" t="str">
        <f>IF(สมรรถนะ!I43="","",สมรรถนะ!I43)</f>
        <v/>
      </c>
      <c r="CJ40" t="str">
        <f>IF(สมรรถนะ!J43="","",สมรรถนะ!J43)</f>
        <v/>
      </c>
      <c r="CK40" t="str">
        <f>IF(สมรรถนะ!K43="","",สมรรถนะ!K43)</f>
        <v/>
      </c>
      <c r="CL40" t="str">
        <f>IF(สมรรถนะ!L43="","",สมรรถนะ!L43)</f>
        <v/>
      </c>
      <c r="CM40" t="str">
        <f>IF(สมรรถนะ!M43="","",สมรรถนะ!M43)</f>
        <v/>
      </c>
      <c r="CN40" t="str">
        <f>IF(คุณลักษณะอันพึงประสงค์!N43="","",คุณลักษณะอันพึงประสงค์!N43)</f>
        <v/>
      </c>
      <c r="CO40" t="str">
        <f>IF(คุณลักษณะอันพึงประสงค์!O43="","",คุณลักษณะอันพึงประสงค์!O43)</f>
        <v/>
      </c>
      <c r="CP40" t="str">
        <f>IF(คุณลักษณะอันพึงประสงค์!P43="","",คุณลักษณะอันพึงประสงค์!P43)</f>
        <v/>
      </c>
      <c r="CQ40" t="str">
        <f>IF(คุณลักษณะอันพึงประสงค์!Q43="","",คุณลักษณะอันพึงประสงค์!Q43)</f>
        <v/>
      </c>
      <c r="CR40" t="str">
        <f>IF(คุณลักษณะอันพึงประสงค์!R43="","",คุณลักษณะอันพึงประสงค์!R43)</f>
        <v/>
      </c>
      <c r="CS40" t="str">
        <f>IF(คุณลักษณะอันพึงประสงค์!S43="","",คุณลักษณะอันพึงประสงค์!S43)</f>
        <v/>
      </c>
      <c r="CT40" t="str">
        <f>IF(คุณลักษณะอันพึงประสงค์!T43="","",คุณลักษณะอันพึงประสงค์!T43)</f>
        <v/>
      </c>
      <c r="CU40" t="str">
        <f>IF(คุณลักษณะอันพึงประสงค์!U43="","",คุณลักษณะอันพึงประสงค์!U43)</f>
        <v/>
      </c>
      <c r="CV40" t="str">
        <f>IF(คุณลักษณะอันพึงประสงค์!V43="","",คุณลักษณะอันพึงประสงค์!V43)</f>
        <v/>
      </c>
      <c r="CW40" t="str">
        <f>IF(คุณลักษณะอันพึงประสงค์!W43="","",คุณลักษณะอันพึงประสงค์!W43)</f>
        <v/>
      </c>
    </row>
    <row r="41" spans="1:101">
      <c r="A41" t="str">
        <f>IF(คะแนนเก็บ!B44="","",คะแนนเก็บ!B44)</f>
        <v/>
      </c>
      <c r="B41" t="str">
        <f>IF(คะแนนเก็บ!D44="","",คะแนนเก็บ!D44)</f>
        <v/>
      </c>
      <c r="C41" t="str">
        <f>IF(คะแนนเก็บ!E44="","",คะแนนเก็บ!E44)</f>
        <v/>
      </c>
      <c r="D41" t="str">
        <f>IF(คะแนนเก็บ!F44="","",คะแนนเก็บ!F44)</f>
        <v/>
      </c>
      <c r="E41" t="str">
        <f>IF(คะแนนเก็บ!G44="","",คะแนนเก็บ!G44)</f>
        <v/>
      </c>
      <c r="F41" t="str">
        <f>IF(คะแนนเก็บ!H44="","",คะแนนเก็บ!H44)</f>
        <v/>
      </c>
      <c r="G41" t="str">
        <f>IF(คะแนนเก็บ!I44="","",คะแนนเก็บ!I44)</f>
        <v/>
      </c>
      <c r="H41" t="str">
        <f>IF(คะแนนเก็บ!J44="","",คะแนนเก็บ!J44)</f>
        <v/>
      </c>
      <c r="I41" t="str">
        <f>IF(คะแนนเก็บ!K44="","",คะแนนเก็บ!K44)</f>
        <v/>
      </c>
      <c r="J41" t="str">
        <f>IF(คะแนนเก็บ!L44="","",คะแนนเก็บ!L44)</f>
        <v/>
      </c>
      <c r="K41" t="str">
        <f>IF(คะแนนเก็บ!M44="","",คะแนนเก็บ!M44)</f>
        <v/>
      </c>
      <c r="L41" t="str">
        <f>IF(คะแนนเก็บ!N44="","",คะแนนเก็บ!N44)</f>
        <v/>
      </c>
      <c r="M41" t="str">
        <f>IF(คะแนนเก็บ!O44="","",คะแนนเก็บ!O44)</f>
        <v/>
      </c>
      <c r="N41" t="str">
        <f>IF(คะแนนเก็บ!P44="","",คะแนนเก็บ!P44)</f>
        <v/>
      </c>
      <c r="O41" t="str">
        <f>IF(คะแนนเก็บ!Q44="","",คะแนนเก็บ!Q44)</f>
        <v/>
      </c>
      <c r="P41" t="str">
        <f>IF(คะแนนเก็บ!R44="","",คะแนนเก็บ!R44)</f>
        <v/>
      </c>
      <c r="Q41" t="str">
        <f>IF(คะแนนเก็บ!S44="","",คะแนนเก็บ!S44)</f>
        <v/>
      </c>
      <c r="R41" t="str">
        <f>IF(คะแนนเก็บ!T44="","",คะแนนเก็บ!T44)</f>
        <v/>
      </c>
      <c r="S41" t="str">
        <f>IF(คะแนนเก็บ!U44="","",คะแนนเก็บ!U44)</f>
        <v/>
      </c>
      <c r="T41" t="str">
        <f>IF(คะแนนเก็บ!V44="","",คะแนนเก็บ!V44)</f>
        <v/>
      </c>
      <c r="U41" t="str">
        <f>IF(คะแนนเก็บ!W44="","",คะแนนเก็บ!W44)</f>
        <v/>
      </c>
      <c r="V41" t="str">
        <f>IF(คะแนนเก็บหลังกลางภาค!D44="","",คะแนนเก็บหลังกลางภาค!D44)</f>
        <v/>
      </c>
      <c r="W41" t="str">
        <f>IF(คะแนนเก็บหลังกลางภาค!E44="","",คะแนนเก็บหลังกลางภาค!E44)</f>
        <v/>
      </c>
      <c r="X41" t="str">
        <f>IF(คะแนนเก็บหลังกลางภาค!F44="","",คะแนนเก็บหลังกลางภาค!F44)</f>
        <v/>
      </c>
      <c r="Y41" t="str">
        <f>IF(คะแนนเก็บหลังกลางภาค!G44="","",คะแนนเก็บหลังกลางภาค!G44)</f>
        <v/>
      </c>
      <c r="Z41" t="str">
        <f>IF(คะแนนเก็บหลังกลางภาค!H44="","",คะแนนเก็บหลังกลางภาค!H44)</f>
        <v/>
      </c>
      <c r="AA41" t="str">
        <f>IF(คะแนนเก็บหลังกลางภาค!I44="","",คะแนนเก็บหลังกลางภาค!I44)</f>
        <v/>
      </c>
      <c r="AB41" t="str">
        <f>IF(คะแนนเก็บหลังกลางภาค!J44="","",คะแนนเก็บหลังกลางภาค!J44)</f>
        <v/>
      </c>
      <c r="AC41" t="str">
        <f>IF(คะแนนเก็บหลังกลางภาค!K44="","",คะแนนเก็บหลังกลางภาค!K44)</f>
        <v/>
      </c>
      <c r="AD41" t="str">
        <f>IF(คะแนนเก็บหลังกลางภาค!L44="","",คะแนนเก็บหลังกลางภาค!L44)</f>
        <v/>
      </c>
      <c r="AE41" t="str">
        <f>IF(คะแนนเก็บหลังกลางภาค!M44="","",คะแนนเก็บหลังกลางภาค!M44)</f>
        <v/>
      </c>
      <c r="AF41" t="str">
        <f>IF(คะแนนเก็บหลังกลางภาค!N44="","",คะแนนเก็บหลังกลางภาค!N44)</f>
        <v/>
      </c>
      <c r="AG41" t="str">
        <f>IF(คะแนนเก็บหลังกลางภาค!O44="","",คะแนนเก็บหลังกลางภาค!O44)</f>
        <v/>
      </c>
      <c r="AH41" t="str">
        <f>IF(คะแนนเก็บหลังกลางภาค!P44="","",คะแนนเก็บหลังกลางภาค!P44)</f>
        <v/>
      </c>
      <c r="AI41" t="str">
        <f>IF(คะแนนเก็บหลังกลางภาค!Q44="","",คะแนนเก็บหลังกลางภาค!Q44)</f>
        <v/>
      </c>
      <c r="AJ41" t="str">
        <f>IF(คะแนนเก็บหลังกลางภาค!R44="","",คะแนนเก็บหลังกลางภาค!R44)</f>
        <v/>
      </c>
      <c r="AK41" t="str">
        <f>IF(คะแนนเก็บหลังกลางภาค!S44="","",คะแนนเก็บหลังกลางภาค!S44)</f>
        <v/>
      </c>
      <c r="AL41" t="str">
        <f>IF(คะแนนเก็บหลังกลางภาค!T44="","",คะแนนเก็บหลังกลางภาค!T44)</f>
        <v/>
      </c>
      <c r="AM41" t="str">
        <f>IF(คะแนนเก็บหลังกลางภาค!U44="","",คะแนนเก็บหลังกลางภาค!U44)</f>
        <v/>
      </c>
      <c r="AN41" t="str">
        <f>IF(คะแนนเก็บหลังกลางภาค!V44="","",คะแนนเก็บหลังกลางภาค!V44)</f>
        <v/>
      </c>
      <c r="AO41" t="str">
        <f>IF(คะแนนเก็บหลังกลางภาค!W44="","",คะแนนเก็บหลังกลางภาค!W44)</f>
        <v/>
      </c>
      <c r="AP41" t="str">
        <f>IF(คุณลักษณะอันพึงประสงค์!D44="","",คุณลักษณะอันพึงประสงค์!D44)</f>
        <v/>
      </c>
      <c r="AQ41" t="str">
        <f>IF(คุณลักษณะอันพึงประสงค์!E44="","",คุณลักษณะอันพึงประสงค์!E44)</f>
        <v/>
      </c>
      <c r="AR41" t="str">
        <f>IF(คุณลักษณะอันพึงประสงค์!F44="","",คุณลักษณะอันพึงประสงค์!F44)</f>
        <v/>
      </c>
      <c r="AS41" t="str">
        <f>IF(คุณลักษณะอันพึงประสงค์!G44="","",คุณลักษณะอันพึงประสงค์!G44)</f>
        <v/>
      </c>
      <c r="AT41" t="str">
        <f>IF(คุณลักษณะอันพึงประสงค์!H44="","",คุณลักษณะอันพึงประสงค์!H44)</f>
        <v/>
      </c>
      <c r="AU41" t="str">
        <f>IF(คุณลักษณะอันพึงประสงค์!I44="","",คุณลักษณะอันพึงประสงค์!I44)</f>
        <v/>
      </c>
      <c r="AV41" t="str">
        <f>IF(คุณลักษณะอันพึงประสงค์!J44="","",คุณลักษณะอันพึงประสงค์!J44)</f>
        <v/>
      </c>
      <c r="AW41" t="str">
        <f>IF(คุณลักษณะอันพึงประสงค์!K44="","",คุณลักษณะอันพึงประสงค์!K44)</f>
        <v/>
      </c>
      <c r="AX41" t="str">
        <f>IF(คุณลักษณะอันพึงประสงค์!L44="","",คุณลักษณะอันพึงประสงค์!L44)</f>
        <v/>
      </c>
      <c r="AY41" t="str">
        <f>IF(คุณลักษณะอันพึงประสงค์!M44="","",คุณลักษณะอันพึงประสงค์!M44)</f>
        <v/>
      </c>
      <c r="AZ41" t="str">
        <f>IF(กลางภาค!D44="","",กลางภาค!D44)</f>
        <v/>
      </c>
      <c r="BA41" t="str">
        <f>IF(กลางภาค!E44="","",กลางภาค!E44)</f>
        <v/>
      </c>
      <c r="BB41" t="str">
        <f>IF(กลางภาค!F44="","",กลางภาค!F44)</f>
        <v/>
      </c>
      <c r="BC41" t="str">
        <f>IF(กลางภาค!G44="","",กลางภาค!G44)</f>
        <v/>
      </c>
      <c r="BD41" t="str">
        <f>IF(กลางภาค!H44="","",กลางภาค!H44)</f>
        <v/>
      </c>
      <c r="BE41" t="str">
        <f>IF(กลางภาค!I44="","",กลางภาค!I44)</f>
        <v/>
      </c>
      <c r="BF41" t="str">
        <f>IF(กลางภาค!J44="","",กลางภาค!J44)</f>
        <v/>
      </c>
      <c r="BG41" t="str">
        <f>IF(กลางภาค!K44="","",กลางภาค!K44)</f>
        <v/>
      </c>
      <c r="BH41" t="str">
        <f>IF(กลางภาค!L44="","",กลางภาค!L44)</f>
        <v/>
      </c>
      <c r="BI41" t="str">
        <f>IF(กลางภาค!M44="","",กลางภาค!M44)</f>
        <v/>
      </c>
      <c r="BJ41" t="str">
        <f>IF(ปลายภาค!D44="","",ปลายภาค!D44)</f>
        <v/>
      </c>
      <c r="BK41" t="str">
        <f>IF(ปลายภาค!E44="","",ปลายภาค!E44)</f>
        <v/>
      </c>
      <c r="BL41" t="str">
        <f>IF(ปลายภาค!F44="","",ปลายภาค!F44)</f>
        <v/>
      </c>
      <c r="BM41" t="str">
        <f>IF(ปลายภาค!G44="","",ปลายภาค!G44)</f>
        <v/>
      </c>
      <c r="BN41" t="str">
        <f>IF(ปลายภาค!H44="","",ปลายภาค!H44)</f>
        <v/>
      </c>
      <c r="BO41" t="str">
        <f>IF(ปลายภาค!I44="","",ปลายภาค!I44)</f>
        <v/>
      </c>
      <c r="BP41" t="str">
        <f>IF(ปลายภาค!J44="","",ปลายภาค!J44)</f>
        <v/>
      </c>
      <c r="BQ41" t="str">
        <f>IF(ปลายภาค!K44="","",ปลายภาค!K44)</f>
        <v/>
      </c>
      <c r="BR41" t="str">
        <f>IF(ปลายภาค!L44="","",ปลายภาค!L44)</f>
        <v/>
      </c>
      <c r="BS41" t="str">
        <f>IF(ปลายภาค!M44="","",ปลายภาค!M44)</f>
        <v/>
      </c>
      <c r="BT41" t="str">
        <f>IF(กลางภาค!N44="","",กลางภาค!N44)</f>
        <v/>
      </c>
      <c r="BU41" t="str">
        <f>IF(ปลายภาค!N44="","",ปลายภาค!N44)</f>
        <v/>
      </c>
      <c r="BV41" t="str">
        <f>IF(คุณลักษณะอันพึงประสงค์!X44="","",คุณลักษณะอันพึงประสงค์!X44)</f>
        <v/>
      </c>
      <c r="BW41" t="str">
        <f>IF(อ่านคิดวิเคราะห์!I44="","",อ่านคิดวิเคราะห์!I44)</f>
        <v/>
      </c>
      <c r="BX41" t="str">
        <f>IF(สมรรถนะ!N44="","",สมรรถนะ!N44)</f>
        <v/>
      </c>
      <c r="BY41" t="str">
        <f>IF(อ่านคิดวิเคราะห์!D44="","",อ่านคิดวิเคราะห์!D44)</f>
        <v/>
      </c>
      <c r="BZ41" t="str">
        <f>IF(อ่านคิดวิเคราะห์!E44="","",อ่านคิดวิเคราะห์!E44)</f>
        <v/>
      </c>
      <c r="CA41" t="str">
        <f>IF(อ่านคิดวิเคราะห์!F44="","",อ่านคิดวิเคราะห์!F44)</f>
        <v/>
      </c>
      <c r="CB41" t="str">
        <f>IF(อ่านคิดวิเคราะห์!G44="","",อ่านคิดวิเคราะห์!G44)</f>
        <v/>
      </c>
      <c r="CC41" t="str">
        <f>IF(อ่านคิดวิเคราะห์!H44="","",อ่านคิดวิเคราะห์!H44)</f>
        <v/>
      </c>
      <c r="CD41" t="str">
        <f>IF(สมรรถนะ!D44="","",สมรรถนะ!D44)</f>
        <v/>
      </c>
      <c r="CE41" t="str">
        <f>IF(สมรรถนะ!E44="","",สมรรถนะ!E44)</f>
        <v/>
      </c>
      <c r="CF41" t="str">
        <f>IF(สมรรถนะ!F44="","",สมรรถนะ!F44)</f>
        <v/>
      </c>
      <c r="CG41" t="str">
        <f>IF(สมรรถนะ!G44="","",สมรรถนะ!G44)</f>
        <v/>
      </c>
      <c r="CH41" t="str">
        <f>IF(สมรรถนะ!H44="","",สมรรถนะ!H44)</f>
        <v/>
      </c>
      <c r="CI41" t="str">
        <f>IF(สมรรถนะ!I44="","",สมรรถนะ!I44)</f>
        <v/>
      </c>
      <c r="CJ41" t="str">
        <f>IF(สมรรถนะ!J44="","",สมรรถนะ!J44)</f>
        <v/>
      </c>
      <c r="CK41" t="str">
        <f>IF(สมรรถนะ!K44="","",สมรรถนะ!K44)</f>
        <v/>
      </c>
      <c r="CL41" t="str">
        <f>IF(สมรรถนะ!L44="","",สมรรถนะ!L44)</f>
        <v/>
      </c>
      <c r="CM41" t="str">
        <f>IF(สมรรถนะ!M44="","",สมรรถนะ!M44)</f>
        <v/>
      </c>
      <c r="CN41" t="str">
        <f>IF(คุณลักษณะอันพึงประสงค์!N44="","",คุณลักษณะอันพึงประสงค์!N44)</f>
        <v/>
      </c>
      <c r="CO41" t="str">
        <f>IF(คุณลักษณะอันพึงประสงค์!O44="","",คุณลักษณะอันพึงประสงค์!O44)</f>
        <v/>
      </c>
      <c r="CP41" t="str">
        <f>IF(คุณลักษณะอันพึงประสงค์!P44="","",คุณลักษณะอันพึงประสงค์!P44)</f>
        <v/>
      </c>
      <c r="CQ41" t="str">
        <f>IF(คุณลักษณะอันพึงประสงค์!Q44="","",คุณลักษณะอันพึงประสงค์!Q44)</f>
        <v/>
      </c>
      <c r="CR41" t="str">
        <f>IF(คุณลักษณะอันพึงประสงค์!R44="","",คุณลักษณะอันพึงประสงค์!R44)</f>
        <v/>
      </c>
      <c r="CS41" t="str">
        <f>IF(คุณลักษณะอันพึงประสงค์!S44="","",คุณลักษณะอันพึงประสงค์!S44)</f>
        <v/>
      </c>
      <c r="CT41" t="str">
        <f>IF(คุณลักษณะอันพึงประสงค์!T44="","",คุณลักษณะอันพึงประสงค์!T44)</f>
        <v/>
      </c>
      <c r="CU41" t="str">
        <f>IF(คุณลักษณะอันพึงประสงค์!U44="","",คุณลักษณะอันพึงประสงค์!U44)</f>
        <v/>
      </c>
      <c r="CV41" t="str">
        <f>IF(คุณลักษณะอันพึงประสงค์!V44="","",คุณลักษณะอันพึงประสงค์!V44)</f>
        <v/>
      </c>
      <c r="CW41" t="str">
        <f>IF(คุณลักษณะอันพึงประสงค์!W44="","",คุณลักษณะอันพึงประสงค์!W44)</f>
        <v/>
      </c>
    </row>
    <row r="42" spans="1:101">
      <c r="A42" t="str">
        <f>IF(คะแนนเก็บ!B45="","",คะแนนเก็บ!B45)</f>
        <v/>
      </c>
      <c r="B42" t="str">
        <f>IF(คะแนนเก็บ!D45="","",คะแนนเก็บ!D45)</f>
        <v/>
      </c>
      <c r="C42" t="str">
        <f>IF(คะแนนเก็บ!E45="","",คะแนนเก็บ!E45)</f>
        <v/>
      </c>
      <c r="D42" t="str">
        <f>IF(คะแนนเก็บ!F45="","",คะแนนเก็บ!F45)</f>
        <v/>
      </c>
      <c r="E42" t="str">
        <f>IF(คะแนนเก็บ!G45="","",คะแนนเก็บ!G45)</f>
        <v/>
      </c>
      <c r="F42" t="str">
        <f>IF(คะแนนเก็บ!H45="","",คะแนนเก็บ!H45)</f>
        <v/>
      </c>
      <c r="G42" t="str">
        <f>IF(คะแนนเก็บ!I45="","",คะแนนเก็บ!I45)</f>
        <v/>
      </c>
      <c r="H42" t="str">
        <f>IF(คะแนนเก็บ!J45="","",คะแนนเก็บ!J45)</f>
        <v/>
      </c>
      <c r="I42" t="str">
        <f>IF(คะแนนเก็บ!K45="","",คะแนนเก็บ!K45)</f>
        <v/>
      </c>
      <c r="J42" t="str">
        <f>IF(คะแนนเก็บ!L45="","",คะแนนเก็บ!L45)</f>
        <v/>
      </c>
      <c r="K42" t="str">
        <f>IF(คะแนนเก็บ!M45="","",คะแนนเก็บ!M45)</f>
        <v/>
      </c>
      <c r="L42" t="str">
        <f>IF(คะแนนเก็บ!N45="","",คะแนนเก็บ!N45)</f>
        <v/>
      </c>
      <c r="M42" t="str">
        <f>IF(คะแนนเก็บ!O45="","",คะแนนเก็บ!O45)</f>
        <v/>
      </c>
      <c r="N42" t="str">
        <f>IF(คะแนนเก็บ!P45="","",คะแนนเก็บ!P45)</f>
        <v/>
      </c>
      <c r="O42" t="str">
        <f>IF(คะแนนเก็บ!Q45="","",คะแนนเก็บ!Q45)</f>
        <v/>
      </c>
      <c r="P42" t="str">
        <f>IF(คะแนนเก็บ!R45="","",คะแนนเก็บ!R45)</f>
        <v/>
      </c>
      <c r="Q42" t="str">
        <f>IF(คะแนนเก็บ!S45="","",คะแนนเก็บ!S45)</f>
        <v/>
      </c>
      <c r="R42" t="str">
        <f>IF(คะแนนเก็บ!T45="","",คะแนนเก็บ!T45)</f>
        <v/>
      </c>
      <c r="S42" t="str">
        <f>IF(คะแนนเก็บ!U45="","",คะแนนเก็บ!U45)</f>
        <v/>
      </c>
      <c r="T42" t="str">
        <f>IF(คะแนนเก็บ!V45="","",คะแนนเก็บ!V45)</f>
        <v/>
      </c>
      <c r="U42" t="str">
        <f>IF(คะแนนเก็บ!W45="","",คะแนนเก็บ!W45)</f>
        <v/>
      </c>
      <c r="V42" t="str">
        <f>IF(คะแนนเก็บหลังกลางภาค!D45="","",คะแนนเก็บหลังกลางภาค!D45)</f>
        <v/>
      </c>
      <c r="W42" t="str">
        <f>IF(คะแนนเก็บหลังกลางภาค!E45="","",คะแนนเก็บหลังกลางภาค!E45)</f>
        <v/>
      </c>
      <c r="X42" t="str">
        <f>IF(คะแนนเก็บหลังกลางภาค!F45="","",คะแนนเก็บหลังกลางภาค!F45)</f>
        <v/>
      </c>
      <c r="Y42" t="str">
        <f>IF(คะแนนเก็บหลังกลางภาค!G45="","",คะแนนเก็บหลังกลางภาค!G45)</f>
        <v/>
      </c>
      <c r="Z42" t="str">
        <f>IF(คะแนนเก็บหลังกลางภาค!H45="","",คะแนนเก็บหลังกลางภาค!H45)</f>
        <v/>
      </c>
      <c r="AA42" t="str">
        <f>IF(คะแนนเก็บหลังกลางภาค!I45="","",คะแนนเก็บหลังกลางภาค!I45)</f>
        <v/>
      </c>
      <c r="AB42" t="str">
        <f>IF(คะแนนเก็บหลังกลางภาค!J45="","",คะแนนเก็บหลังกลางภาค!J45)</f>
        <v/>
      </c>
      <c r="AC42" t="str">
        <f>IF(คะแนนเก็บหลังกลางภาค!K45="","",คะแนนเก็บหลังกลางภาค!K45)</f>
        <v/>
      </c>
      <c r="AD42" t="str">
        <f>IF(คะแนนเก็บหลังกลางภาค!L45="","",คะแนนเก็บหลังกลางภาค!L45)</f>
        <v/>
      </c>
      <c r="AE42" t="str">
        <f>IF(คะแนนเก็บหลังกลางภาค!M45="","",คะแนนเก็บหลังกลางภาค!M45)</f>
        <v/>
      </c>
      <c r="AF42" t="str">
        <f>IF(คะแนนเก็บหลังกลางภาค!N45="","",คะแนนเก็บหลังกลางภาค!N45)</f>
        <v/>
      </c>
      <c r="AG42" t="str">
        <f>IF(คะแนนเก็บหลังกลางภาค!O45="","",คะแนนเก็บหลังกลางภาค!O45)</f>
        <v/>
      </c>
      <c r="AH42" t="str">
        <f>IF(คะแนนเก็บหลังกลางภาค!P45="","",คะแนนเก็บหลังกลางภาค!P45)</f>
        <v/>
      </c>
      <c r="AI42" t="str">
        <f>IF(คะแนนเก็บหลังกลางภาค!Q45="","",คะแนนเก็บหลังกลางภาค!Q45)</f>
        <v/>
      </c>
      <c r="AJ42" t="str">
        <f>IF(คะแนนเก็บหลังกลางภาค!R45="","",คะแนนเก็บหลังกลางภาค!R45)</f>
        <v/>
      </c>
      <c r="AK42" t="str">
        <f>IF(คะแนนเก็บหลังกลางภาค!S45="","",คะแนนเก็บหลังกลางภาค!S45)</f>
        <v/>
      </c>
      <c r="AL42" t="str">
        <f>IF(คะแนนเก็บหลังกลางภาค!T45="","",คะแนนเก็บหลังกลางภาค!T45)</f>
        <v/>
      </c>
      <c r="AM42" t="str">
        <f>IF(คะแนนเก็บหลังกลางภาค!U45="","",คะแนนเก็บหลังกลางภาค!U45)</f>
        <v/>
      </c>
      <c r="AN42" t="str">
        <f>IF(คะแนนเก็บหลังกลางภาค!V45="","",คะแนนเก็บหลังกลางภาค!V45)</f>
        <v/>
      </c>
      <c r="AO42" t="str">
        <f>IF(คะแนนเก็บหลังกลางภาค!W45="","",คะแนนเก็บหลังกลางภาค!W45)</f>
        <v/>
      </c>
      <c r="AP42" t="str">
        <f>IF(คุณลักษณะอันพึงประสงค์!D45="","",คุณลักษณะอันพึงประสงค์!D45)</f>
        <v/>
      </c>
      <c r="AQ42" t="str">
        <f>IF(คุณลักษณะอันพึงประสงค์!E45="","",คุณลักษณะอันพึงประสงค์!E45)</f>
        <v/>
      </c>
      <c r="AR42" t="str">
        <f>IF(คุณลักษณะอันพึงประสงค์!F45="","",คุณลักษณะอันพึงประสงค์!F45)</f>
        <v/>
      </c>
      <c r="AS42" t="str">
        <f>IF(คุณลักษณะอันพึงประสงค์!G45="","",คุณลักษณะอันพึงประสงค์!G45)</f>
        <v/>
      </c>
      <c r="AT42" t="str">
        <f>IF(คุณลักษณะอันพึงประสงค์!H45="","",คุณลักษณะอันพึงประสงค์!H45)</f>
        <v/>
      </c>
      <c r="AU42" t="str">
        <f>IF(คุณลักษณะอันพึงประสงค์!I45="","",คุณลักษณะอันพึงประสงค์!I45)</f>
        <v/>
      </c>
      <c r="AV42" t="str">
        <f>IF(คุณลักษณะอันพึงประสงค์!J45="","",คุณลักษณะอันพึงประสงค์!J45)</f>
        <v/>
      </c>
      <c r="AW42" t="str">
        <f>IF(คุณลักษณะอันพึงประสงค์!K45="","",คุณลักษณะอันพึงประสงค์!K45)</f>
        <v/>
      </c>
      <c r="AX42" t="str">
        <f>IF(คุณลักษณะอันพึงประสงค์!L45="","",คุณลักษณะอันพึงประสงค์!L45)</f>
        <v/>
      </c>
      <c r="AY42" t="str">
        <f>IF(คุณลักษณะอันพึงประสงค์!M45="","",คุณลักษณะอันพึงประสงค์!M45)</f>
        <v/>
      </c>
      <c r="AZ42" t="str">
        <f>IF(กลางภาค!D45="","",กลางภาค!D45)</f>
        <v/>
      </c>
      <c r="BA42" t="str">
        <f>IF(กลางภาค!E45="","",กลางภาค!E45)</f>
        <v/>
      </c>
      <c r="BB42" t="str">
        <f>IF(กลางภาค!F45="","",กลางภาค!F45)</f>
        <v/>
      </c>
      <c r="BC42" t="str">
        <f>IF(กลางภาค!G45="","",กลางภาค!G45)</f>
        <v/>
      </c>
      <c r="BD42" t="str">
        <f>IF(กลางภาค!H45="","",กลางภาค!H45)</f>
        <v/>
      </c>
      <c r="BE42" t="str">
        <f>IF(กลางภาค!I45="","",กลางภาค!I45)</f>
        <v/>
      </c>
      <c r="BF42" t="str">
        <f>IF(กลางภาค!J45="","",กลางภาค!J45)</f>
        <v/>
      </c>
      <c r="BG42" t="str">
        <f>IF(กลางภาค!K45="","",กลางภาค!K45)</f>
        <v/>
      </c>
      <c r="BH42" t="str">
        <f>IF(กลางภาค!L45="","",กลางภาค!L45)</f>
        <v/>
      </c>
      <c r="BI42" t="str">
        <f>IF(กลางภาค!M45="","",กลางภาค!M45)</f>
        <v/>
      </c>
      <c r="BJ42" t="str">
        <f>IF(ปลายภาค!D45="","",ปลายภาค!D45)</f>
        <v/>
      </c>
      <c r="BK42" t="str">
        <f>IF(ปลายภาค!E45="","",ปลายภาค!E45)</f>
        <v/>
      </c>
      <c r="BL42" t="str">
        <f>IF(ปลายภาค!F45="","",ปลายภาค!F45)</f>
        <v/>
      </c>
      <c r="BM42" t="str">
        <f>IF(ปลายภาค!G45="","",ปลายภาค!G45)</f>
        <v/>
      </c>
      <c r="BN42" t="str">
        <f>IF(ปลายภาค!H45="","",ปลายภาค!H45)</f>
        <v/>
      </c>
      <c r="BO42" t="str">
        <f>IF(ปลายภาค!I45="","",ปลายภาค!I45)</f>
        <v/>
      </c>
      <c r="BP42" t="str">
        <f>IF(ปลายภาค!J45="","",ปลายภาค!J45)</f>
        <v/>
      </c>
      <c r="BQ42" t="str">
        <f>IF(ปลายภาค!K45="","",ปลายภาค!K45)</f>
        <v/>
      </c>
      <c r="BR42" t="str">
        <f>IF(ปลายภาค!L45="","",ปลายภาค!L45)</f>
        <v/>
      </c>
      <c r="BS42" t="str">
        <f>IF(ปลายภาค!M45="","",ปลายภาค!M45)</f>
        <v/>
      </c>
      <c r="BT42" t="str">
        <f>IF(กลางภาค!N45="","",กลางภาค!N45)</f>
        <v/>
      </c>
      <c r="BU42" t="str">
        <f>IF(ปลายภาค!N45="","",ปลายภาค!N45)</f>
        <v/>
      </c>
      <c r="BV42" t="str">
        <f>IF(คุณลักษณะอันพึงประสงค์!X45="","",คุณลักษณะอันพึงประสงค์!X45)</f>
        <v/>
      </c>
      <c r="BW42" t="str">
        <f>IF(อ่านคิดวิเคราะห์!I45="","",อ่านคิดวิเคราะห์!I45)</f>
        <v/>
      </c>
      <c r="BX42" t="str">
        <f>IF(สมรรถนะ!N45="","",สมรรถนะ!N45)</f>
        <v/>
      </c>
      <c r="BY42" t="str">
        <f>IF(อ่านคิดวิเคราะห์!D45="","",อ่านคิดวิเคราะห์!D45)</f>
        <v/>
      </c>
      <c r="BZ42" t="str">
        <f>IF(อ่านคิดวิเคราะห์!E45="","",อ่านคิดวิเคราะห์!E45)</f>
        <v/>
      </c>
      <c r="CA42" t="str">
        <f>IF(อ่านคิดวิเคราะห์!F45="","",อ่านคิดวิเคราะห์!F45)</f>
        <v/>
      </c>
      <c r="CB42" t="str">
        <f>IF(อ่านคิดวิเคราะห์!G45="","",อ่านคิดวิเคราะห์!G45)</f>
        <v/>
      </c>
      <c r="CC42" t="str">
        <f>IF(อ่านคิดวิเคราะห์!H45="","",อ่านคิดวิเคราะห์!H45)</f>
        <v/>
      </c>
      <c r="CD42" t="str">
        <f>IF(สมรรถนะ!D45="","",สมรรถนะ!D45)</f>
        <v/>
      </c>
      <c r="CE42" t="str">
        <f>IF(สมรรถนะ!E45="","",สมรรถนะ!E45)</f>
        <v/>
      </c>
      <c r="CF42" t="str">
        <f>IF(สมรรถนะ!F45="","",สมรรถนะ!F45)</f>
        <v/>
      </c>
      <c r="CG42" t="str">
        <f>IF(สมรรถนะ!G45="","",สมรรถนะ!G45)</f>
        <v/>
      </c>
      <c r="CH42" t="str">
        <f>IF(สมรรถนะ!H45="","",สมรรถนะ!H45)</f>
        <v/>
      </c>
      <c r="CI42" t="str">
        <f>IF(สมรรถนะ!I45="","",สมรรถนะ!I45)</f>
        <v/>
      </c>
      <c r="CJ42" t="str">
        <f>IF(สมรรถนะ!J45="","",สมรรถนะ!J45)</f>
        <v/>
      </c>
      <c r="CK42" t="str">
        <f>IF(สมรรถนะ!K45="","",สมรรถนะ!K45)</f>
        <v/>
      </c>
      <c r="CL42" t="str">
        <f>IF(สมรรถนะ!L45="","",สมรรถนะ!L45)</f>
        <v/>
      </c>
      <c r="CM42" t="str">
        <f>IF(สมรรถนะ!M45="","",สมรรถนะ!M45)</f>
        <v/>
      </c>
      <c r="CN42" t="str">
        <f>IF(คุณลักษณะอันพึงประสงค์!N45="","",คุณลักษณะอันพึงประสงค์!N45)</f>
        <v/>
      </c>
      <c r="CO42" t="str">
        <f>IF(คุณลักษณะอันพึงประสงค์!O45="","",คุณลักษณะอันพึงประสงค์!O45)</f>
        <v/>
      </c>
      <c r="CP42" t="str">
        <f>IF(คุณลักษณะอันพึงประสงค์!P45="","",คุณลักษณะอันพึงประสงค์!P45)</f>
        <v/>
      </c>
      <c r="CQ42" t="str">
        <f>IF(คุณลักษณะอันพึงประสงค์!Q45="","",คุณลักษณะอันพึงประสงค์!Q45)</f>
        <v/>
      </c>
      <c r="CR42" t="str">
        <f>IF(คุณลักษณะอันพึงประสงค์!R45="","",คุณลักษณะอันพึงประสงค์!R45)</f>
        <v/>
      </c>
      <c r="CS42" t="str">
        <f>IF(คุณลักษณะอันพึงประสงค์!S45="","",คุณลักษณะอันพึงประสงค์!S45)</f>
        <v/>
      </c>
      <c r="CT42" t="str">
        <f>IF(คุณลักษณะอันพึงประสงค์!T45="","",คุณลักษณะอันพึงประสงค์!T45)</f>
        <v/>
      </c>
      <c r="CU42" t="str">
        <f>IF(คุณลักษณะอันพึงประสงค์!U45="","",คุณลักษณะอันพึงประสงค์!U45)</f>
        <v/>
      </c>
      <c r="CV42" t="str">
        <f>IF(คุณลักษณะอันพึงประสงค์!V45="","",คุณลักษณะอันพึงประสงค์!V45)</f>
        <v/>
      </c>
      <c r="CW42" t="str">
        <f>IF(คุณลักษณะอันพึงประสงค์!W45="","",คุณลักษณะอันพึงประสงค์!W45)</f>
        <v/>
      </c>
    </row>
    <row r="43" spans="1:101">
      <c r="A43" t="str">
        <f>IF(คะแนนเก็บ!B46="","",คะแนนเก็บ!B46)</f>
        <v/>
      </c>
      <c r="B43" t="str">
        <f>IF(คะแนนเก็บ!D46="","",คะแนนเก็บ!D46)</f>
        <v/>
      </c>
      <c r="C43" t="str">
        <f>IF(คะแนนเก็บ!E46="","",คะแนนเก็บ!E46)</f>
        <v/>
      </c>
      <c r="D43" t="str">
        <f>IF(คะแนนเก็บ!F46="","",คะแนนเก็บ!F46)</f>
        <v/>
      </c>
      <c r="E43" t="str">
        <f>IF(คะแนนเก็บ!G46="","",คะแนนเก็บ!G46)</f>
        <v/>
      </c>
      <c r="F43" t="str">
        <f>IF(คะแนนเก็บ!H46="","",คะแนนเก็บ!H46)</f>
        <v/>
      </c>
      <c r="G43" t="str">
        <f>IF(คะแนนเก็บ!I46="","",คะแนนเก็บ!I46)</f>
        <v/>
      </c>
      <c r="H43" t="str">
        <f>IF(คะแนนเก็บ!J46="","",คะแนนเก็บ!J46)</f>
        <v/>
      </c>
      <c r="I43" t="str">
        <f>IF(คะแนนเก็บ!K46="","",คะแนนเก็บ!K46)</f>
        <v/>
      </c>
      <c r="J43" t="str">
        <f>IF(คะแนนเก็บ!L46="","",คะแนนเก็บ!L46)</f>
        <v/>
      </c>
      <c r="K43" t="str">
        <f>IF(คะแนนเก็บ!M46="","",คะแนนเก็บ!M46)</f>
        <v/>
      </c>
      <c r="L43" t="str">
        <f>IF(คะแนนเก็บ!N46="","",คะแนนเก็บ!N46)</f>
        <v/>
      </c>
      <c r="M43" t="str">
        <f>IF(คะแนนเก็บ!O46="","",คะแนนเก็บ!O46)</f>
        <v/>
      </c>
      <c r="N43" t="str">
        <f>IF(คะแนนเก็บ!P46="","",คะแนนเก็บ!P46)</f>
        <v/>
      </c>
      <c r="O43" t="str">
        <f>IF(คะแนนเก็บ!Q46="","",คะแนนเก็บ!Q46)</f>
        <v/>
      </c>
      <c r="P43" t="str">
        <f>IF(คะแนนเก็บ!R46="","",คะแนนเก็บ!R46)</f>
        <v/>
      </c>
      <c r="Q43" t="str">
        <f>IF(คะแนนเก็บ!S46="","",คะแนนเก็บ!S46)</f>
        <v/>
      </c>
      <c r="R43" t="str">
        <f>IF(คะแนนเก็บ!T46="","",คะแนนเก็บ!T46)</f>
        <v/>
      </c>
      <c r="S43" t="str">
        <f>IF(คะแนนเก็บ!U46="","",คะแนนเก็บ!U46)</f>
        <v/>
      </c>
      <c r="T43" t="str">
        <f>IF(คะแนนเก็บ!V46="","",คะแนนเก็บ!V46)</f>
        <v/>
      </c>
      <c r="U43" t="str">
        <f>IF(คะแนนเก็บ!W46="","",คะแนนเก็บ!W46)</f>
        <v/>
      </c>
      <c r="V43" t="str">
        <f>IF(คะแนนเก็บหลังกลางภาค!D46="","",คะแนนเก็บหลังกลางภาค!D46)</f>
        <v/>
      </c>
      <c r="W43" t="str">
        <f>IF(คะแนนเก็บหลังกลางภาค!E46="","",คะแนนเก็บหลังกลางภาค!E46)</f>
        <v/>
      </c>
      <c r="X43" t="str">
        <f>IF(คะแนนเก็บหลังกลางภาค!F46="","",คะแนนเก็บหลังกลางภาค!F46)</f>
        <v/>
      </c>
      <c r="Y43" t="str">
        <f>IF(คะแนนเก็บหลังกลางภาค!G46="","",คะแนนเก็บหลังกลางภาค!G46)</f>
        <v/>
      </c>
      <c r="Z43" t="str">
        <f>IF(คะแนนเก็บหลังกลางภาค!H46="","",คะแนนเก็บหลังกลางภาค!H46)</f>
        <v/>
      </c>
      <c r="AA43" t="str">
        <f>IF(คะแนนเก็บหลังกลางภาค!I46="","",คะแนนเก็บหลังกลางภาค!I46)</f>
        <v/>
      </c>
      <c r="AB43" t="str">
        <f>IF(คะแนนเก็บหลังกลางภาค!J46="","",คะแนนเก็บหลังกลางภาค!J46)</f>
        <v/>
      </c>
      <c r="AC43" t="str">
        <f>IF(คะแนนเก็บหลังกลางภาค!K46="","",คะแนนเก็บหลังกลางภาค!K46)</f>
        <v/>
      </c>
      <c r="AD43" t="str">
        <f>IF(คะแนนเก็บหลังกลางภาค!L46="","",คะแนนเก็บหลังกลางภาค!L46)</f>
        <v/>
      </c>
      <c r="AE43" t="str">
        <f>IF(คะแนนเก็บหลังกลางภาค!M46="","",คะแนนเก็บหลังกลางภาค!M46)</f>
        <v/>
      </c>
      <c r="AF43" t="str">
        <f>IF(คะแนนเก็บหลังกลางภาค!N46="","",คะแนนเก็บหลังกลางภาค!N46)</f>
        <v/>
      </c>
      <c r="AG43" t="str">
        <f>IF(คะแนนเก็บหลังกลางภาค!O46="","",คะแนนเก็บหลังกลางภาค!O46)</f>
        <v/>
      </c>
      <c r="AH43" t="str">
        <f>IF(คะแนนเก็บหลังกลางภาค!P46="","",คะแนนเก็บหลังกลางภาค!P46)</f>
        <v/>
      </c>
      <c r="AI43" t="str">
        <f>IF(คะแนนเก็บหลังกลางภาค!Q46="","",คะแนนเก็บหลังกลางภาค!Q46)</f>
        <v/>
      </c>
      <c r="AJ43" t="str">
        <f>IF(คะแนนเก็บหลังกลางภาค!R46="","",คะแนนเก็บหลังกลางภาค!R46)</f>
        <v/>
      </c>
      <c r="AK43" t="str">
        <f>IF(คะแนนเก็บหลังกลางภาค!S46="","",คะแนนเก็บหลังกลางภาค!S46)</f>
        <v/>
      </c>
      <c r="AL43" t="str">
        <f>IF(คะแนนเก็บหลังกลางภาค!T46="","",คะแนนเก็บหลังกลางภาค!T46)</f>
        <v/>
      </c>
      <c r="AM43" t="str">
        <f>IF(คะแนนเก็บหลังกลางภาค!U46="","",คะแนนเก็บหลังกลางภาค!U46)</f>
        <v/>
      </c>
      <c r="AN43" t="str">
        <f>IF(คะแนนเก็บหลังกลางภาค!V46="","",คะแนนเก็บหลังกลางภาค!V46)</f>
        <v/>
      </c>
      <c r="AO43" t="str">
        <f>IF(คะแนนเก็บหลังกลางภาค!W46="","",คะแนนเก็บหลังกลางภาค!W46)</f>
        <v/>
      </c>
      <c r="AP43" t="str">
        <f>IF(คุณลักษณะอันพึงประสงค์!D46="","",คุณลักษณะอันพึงประสงค์!D46)</f>
        <v/>
      </c>
      <c r="AQ43" t="str">
        <f>IF(คุณลักษณะอันพึงประสงค์!E46="","",คุณลักษณะอันพึงประสงค์!E46)</f>
        <v/>
      </c>
      <c r="AR43" t="str">
        <f>IF(คุณลักษณะอันพึงประสงค์!F46="","",คุณลักษณะอันพึงประสงค์!F46)</f>
        <v/>
      </c>
      <c r="AS43" t="str">
        <f>IF(คุณลักษณะอันพึงประสงค์!G46="","",คุณลักษณะอันพึงประสงค์!G46)</f>
        <v/>
      </c>
      <c r="AT43" t="str">
        <f>IF(คุณลักษณะอันพึงประสงค์!H46="","",คุณลักษณะอันพึงประสงค์!H46)</f>
        <v/>
      </c>
      <c r="AU43" t="str">
        <f>IF(คุณลักษณะอันพึงประสงค์!I46="","",คุณลักษณะอันพึงประสงค์!I46)</f>
        <v/>
      </c>
      <c r="AV43" t="str">
        <f>IF(คุณลักษณะอันพึงประสงค์!J46="","",คุณลักษณะอันพึงประสงค์!J46)</f>
        <v/>
      </c>
      <c r="AW43" t="str">
        <f>IF(คุณลักษณะอันพึงประสงค์!K46="","",คุณลักษณะอันพึงประสงค์!K46)</f>
        <v/>
      </c>
      <c r="AX43" t="str">
        <f>IF(คุณลักษณะอันพึงประสงค์!L46="","",คุณลักษณะอันพึงประสงค์!L46)</f>
        <v/>
      </c>
      <c r="AY43" t="str">
        <f>IF(คุณลักษณะอันพึงประสงค์!M46="","",คุณลักษณะอันพึงประสงค์!M46)</f>
        <v/>
      </c>
      <c r="AZ43" t="str">
        <f>IF(กลางภาค!D46="","",กลางภาค!D46)</f>
        <v/>
      </c>
      <c r="BA43" t="str">
        <f>IF(กลางภาค!E46="","",กลางภาค!E46)</f>
        <v/>
      </c>
      <c r="BB43" t="str">
        <f>IF(กลางภาค!F46="","",กลางภาค!F46)</f>
        <v/>
      </c>
      <c r="BC43" t="str">
        <f>IF(กลางภาค!G46="","",กลางภาค!G46)</f>
        <v/>
      </c>
      <c r="BD43" t="str">
        <f>IF(กลางภาค!H46="","",กลางภาค!H46)</f>
        <v/>
      </c>
      <c r="BE43" t="str">
        <f>IF(กลางภาค!I46="","",กลางภาค!I46)</f>
        <v/>
      </c>
      <c r="BF43" t="str">
        <f>IF(กลางภาค!J46="","",กลางภาค!J46)</f>
        <v/>
      </c>
      <c r="BG43" t="str">
        <f>IF(กลางภาค!K46="","",กลางภาค!K46)</f>
        <v/>
      </c>
      <c r="BH43" t="str">
        <f>IF(กลางภาค!L46="","",กลางภาค!L46)</f>
        <v/>
      </c>
      <c r="BI43" t="str">
        <f>IF(กลางภาค!M46="","",กลางภาค!M46)</f>
        <v/>
      </c>
      <c r="BJ43" t="str">
        <f>IF(ปลายภาค!D46="","",ปลายภาค!D46)</f>
        <v/>
      </c>
      <c r="BK43" t="str">
        <f>IF(ปลายภาค!E46="","",ปลายภาค!E46)</f>
        <v/>
      </c>
      <c r="BL43" t="str">
        <f>IF(ปลายภาค!F46="","",ปลายภาค!F46)</f>
        <v/>
      </c>
      <c r="BM43" t="str">
        <f>IF(ปลายภาค!G46="","",ปลายภาค!G46)</f>
        <v/>
      </c>
      <c r="BN43" t="str">
        <f>IF(ปลายภาค!H46="","",ปลายภาค!H46)</f>
        <v/>
      </c>
      <c r="BO43" t="str">
        <f>IF(ปลายภาค!I46="","",ปลายภาค!I46)</f>
        <v/>
      </c>
      <c r="BP43" t="str">
        <f>IF(ปลายภาค!J46="","",ปลายภาค!J46)</f>
        <v/>
      </c>
      <c r="BQ43" t="str">
        <f>IF(ปลายภาค!K46="","",ปลายภาค!K46)</f>
        <v/>
      </c>
      <c r="BR43" t="str">
        <f>IF(ปลายภาค!L46="","",ปลายภาค!L46)</f>
        <v/>
      </c>
      <c r="BS43" t="str">
        <f>IF(ปลายภาค!M46="","",ปลายภาค!M46)</f>
        <v/>
      </c>
      <c r="BT43" t="str">
        <f>IF(กลางภาค!N46="","",กลางภาค!N46)</f>
        <v/>
      </c>
      <c r="BU43" t="str">
        <f>IF(ปลายภาค!N46="","",ปลายภาค!N46)</f>
        <v/>
      </c>
      <c r="BV43" t="str">
        <f>IF(คุณลักษณะอันพึงประสงค์!X46="","",คุณลักษณะอันพึงประสงค์!X46)</f>
        <v/>
      </c>
      <c r="BW43" t="str">
        <f>IF(อ่านคิดวิเคราะห์!I46="","",อ่านคิดวิเคราะห์!I46)</f>
        <v/>
      </c>
      <c r="BX43" t="str">
        <f>IF(สมรรถนะ!N46="","",สมรรถนะ!N46)</f>
        <v/>
      </c>
      <c r="BY43" t="str">
        <f>IF(อ่านคิดวิเคราะห์!D46="","",อ่านคิดวิเคราะห์!D46)</f>
        <v/>
      </c>
      <c r="BZ43" t="str">
        <f>IF(อ่านคิดวิเคราะห์!E46="","",อ่านคิดวิเคราะห์!E46)</f>
        <v/>
      </c>
      <c r="CA43" t="str">
        <f>IF(อ่านคิดวิเคราะห์!F46="","",อ่านคิดวิเคราะห์!F46)</f>
        <v/>
      </c>
      <c r="CB43" t="str">
        <f>IF(อ่านคิดวิเคราะห์!G46="","",อ่านคิดวิเคราะห์!G46)</f>
        <v/>
      </c>
      <c r="CC43" t="str">
        <f>IF(อ่านคิดวิเคราะห์!H46="","",อ่านคิดวิเคราะห์!H46)</f>
        <v/>
      </c>
      <c r="CD43" t="str">
        <f>IF(สมรรถนะ!D46="","",สมรรถนะ!D46)</f>
        <v/>
      </c>
      <c r="CE43" t="str">
        <f>IF(สมรรถนะ!E46="","",สมรรถนะ!E46)</f>
        <v/>
      </c>
      <c r="CF43" t="str">
        <f>IF(สมรรถนะ!F46="","",สมรรถนะ!F46)</f>
        <v/>
      </c>
      <c r="CG43" t="str">
        <f>IF(สมรรถนะ!G46="","",สมรรถนะ!G46)</f>
        <v/>
      </c>
      <c r="CH43" t="str">
        <f>IF(สมรรถนะ!H46="","",สมรรถนะ!H46)</f>
        <v/>
      </c>
      <c r="CI43" t="str">
        <f>IF(สมรรถนะ!I46="","",สมรรถนะ!I46)</f>
        <v/>
      </c>
      <c r="CJ43" t="str">
        <f>IF(สมรรถนะ!J46="","",สมรรถนะ!J46)</f>
        <v/>
      </c>
      <c r="CK43" t="str">
        <f>IF(สมรรถนะ!K46="","",สมรรถนะ!K46)</f>
        <v/>
      </c>
      <c r="CL43" t="str">
        <f>IF(สมรรถนะ!L46="","",สมรรถนะ!L46)</f>
        <v/>
      </c>
      <c r="CM43" t="str">
        <f>IF(สมรรถนะ!M46="","",สมรรถนะ!M46)</f>
        <v/>
      </c>
      <c r="CN43" t="str">
        <f>IF(คุณลักษณะอันพึงประสงค์!N46="","",คุณลักษณะอันพึงประสงค์!N46)</f>
        <v/>
      </c>
      <c r="CO43" t="str">
        <f>IF(คุณลักษณะอันพึงประสงค์!O46="","",คุณลักษณะอันพึงประสงค์!O46)</f>
        <v/>
      </c>
      <c r="CP43" t="str">
        <f>IF(คุณลักษณะอันพึงประสงค์!P46="","",คุณลักษณะอันพึงประสงค์!P46)</f>
        <v/>
      </c>
      <c r="CQ43" t="str">
        <f>IF(คุณลักษณะอันพึงประสงค์!Q46="","",คุณลักษณะอันพึงประสงค์!Q46)</f>
        <v/>
      </c>
      <c r="CR43" t="str">
        <f>IF(คุณลักษณะอันพึงประสงค์!R46="","",คุณลักษณะอันพึงประสงค์!R46)</f>
        <v/>
      </c>
      <c r="CS43" t="str">
        <f>IF(คุณลักษณะอันพึงประสงค์!S46="","",คุณลักษณะอันพึงประสงค์!S46)</f>
        <v/>
      </c>
      <c r="CT43" t="str">
        <f>IF(คุณลักษณะอันพึงประสงค์!T46="","",คุณลักษณะอันพึงประสงค์!T46)</f>
        <v/>
      </c>
      <c r="CU43" t="str">
        <f>IF(คุณลักษณะอันพึงประสงค์!U46="","",คุณลักษณะอันพึงประสงค์!U46)</f>
        <v/>
      </c>
      <c r="CV43" t="str">
        <f>IF(คุณลักษณะอันพึงประสงค์!V46="","",คุณลักษณะอันพึงประสงค์!V46)</f>
        <v/>
      </c>
      <c r="CW43" t="str">
        <f>IF(คุณลักษณะอันพึงประสงค์!W46="","",คุณลักษณะอันพึงประสงค์!W46)</f>
        <v/>
      </c>
    </row>
    <row r="44" spans="1:101">
      <c r="A44" t="str">
        <f>IF(คะแนนเก็บ!B47="","",คะแนนเก็บ!B47)</f>
        <v/>
      </c>
      <c r="B44" t="str">
        <f>IF(คะแนนเก็บ!D47="","",คะแนนเก็บ!D47)</f>
        <v/>
      </c>
      <c r="C44" t="str">
        <f>IF(คะแนนเก็บ!E47="","",คะแนนเก็บ!E47)</f>
        <v/>
      </c>
      <c r="D44" t="str">
        <f>IF(คะแนนเก็บ!F47="","",คะแนนเก็บ!F47)</f>
        <v/>
      </c>
      <c r="E44" t="str">
        <f>IF(คะแนนเก็บ!G47="","",คะแนนเก็บ!G47)</f>
        <v/>
      </c>
      <c r="F44" t="str">
        <f>IF(คะแนนเก็บ!H47="","",คะแนนเก็บ!H47)</f>
        <v/>
      </c>
      <c r="G44" t="str">
        <f>IF(คะแนนเก็บ!I47="","",คะแนนเก็บ!I47)</f>
        <v/>
      </c>
      <c r="H44" t="str">
        <f>IF(คะแนนเก็บ!J47="","",คะแนนเก็บ!J47)</f>
        <v/>
      </c>
      <c r="I44" t="str">
        <f>IF(คะแนนเก็บ!K47="","",คะแนนเก็บ!K47)</f>
        <v/>
      </c>
      <c r="J44" t="str">
        <f>IF(คะแนนเก็บ!L47="","",คะแนนเก็บ!L47)</f>
        <v/>
      </c>
      <c r="K44" t="str">
        <f>IF(คะแนนเก็บ!M47="","",คะแนนเก็บ!M47)</f>
        <v/>
      </c>
      <c r="L44" t="str">
        <f>IF(คะแนนเก็บ!N47="","",คะแนนเก็บ!N47)</f>
        <v/>
      </c>
      <c r="M44" t="str">
        <f>IF(คะแนนเก็บ!O47="","",คะแนนเก็บ!O47)</f>
        <v/>
      </c>
      <c r="N44" t="str">
        <f>IF(คะแนนเก็บ!P47="","",คะแนนเก็บ!P47)</f>
        <v/>
      </c>
      <c r="O44" t="str">
        <f>IF(คะแนนเก็บ!Q47="","",คะแนนเก็บ!Q47)</f>
        <v/>
      </c>
      <c r="P44" t="str">
        <f>IF(คะแนนเก็บ!R47="","",คะแนนเก็บ!R47)</f>
        <v/>
      </c>
      <c r="Q44" t="str">
        <f>IF(คะแนนเก็บ!S47="","",คะแนนเก็บ!S47)</f>
        <v/>
      </c>
      <c r="R44" t="str">
        <f>IF(คะแนนเก็บ!T47="","",คะแนนเก็บ!T47)</f>
        <v/>
      </c>
      <c r="S44" t="str">
        <f>IF(คะแนนเก็บ!U47="","",คะแนนเก็บ!U47)</f>
        <v/>
      </c>
      <c r="T44" t="str">
        <f>IF(คะแนนเก็บ!V47="","",คะแนนเก็บ!V47)</f>
        <v/>
      </c>
      <c r="U44" t="str">
        <f>IF(คะแนนเก็บ!W47="","",คะแนนเก็บ!W47)</f>
        <v/>
      </c>
      <c r="V44" t="str">
        <f>IF(คะแนนเก็บหลังกลางภาค!D47="","",คะแนนเก็บหลังกลางภาค!D47)</f>
        <v/>
      </c>
      <c r="W44" t="str">
        <f>IF(คะแนนเก็บหลังกลางภาค!E47="","",คะแนนเก็บหลังกลางภาค!E47)</f>
        <v/>
      </c>
      <c r="X44" t="str">
        <f>IF(คะแนนเก็บหลังกลางภาค!F47="","",คะแนนเก็บหลังกลางภาค!F47)</f>
        <v/>
      </c>
      <c r="Y44" t="str">
        <f>IF(คะแนนเก็บหลังกลางภาค!G47="","",คะแนนเก็บหลังกลางภาค!G47)</f>
        <v/>
      </c>
      <c r="Z44" t="str">
        <f>IF(คะแนนเก็บหลังกลางภาค!H47="","",คะแนนเก็บหลังกลางภาค!H47)</f>
        <v/>
      </c>
      <c r="AA44" t="str">
        <f>IF(คะแนนเก็บหลังกลางภาค!I47="","",คะแนนเก็บหลังกลางภาค!I47)</f>
        <v/>
      </c>
      <c r="AB44" t="str">
        <f>IF(คะแนนเก็บหลังกลางภาค!J47="","",คะแนนเก็บหลังกลางภาค!J47)</f>
        <v/>
      </c>
      <c r="AC44" t="str">
        <f>IF(คะแนนเก็บหลังกลางภาค!K47="","",คะแนนเก็บหลังกลางภาค!K47)</f>
        <v/>
      </c>
      <c r="AD44" t="str">
        <f>IF(คะแนนเก็บหลังกลางภาค!L47="","",คะแนนเก็บหลังกลางภาค!L47)</f>
        <v/>
      </c>
      <c r="AE44" t="str">
        <f>IF(คะแนนเก็บหลังกลางภาค!M47="","",คะแนนเก็บหลังกลางภาค!M47)</f>
        <v/>
      </c>
      <c r="AF44" t="str">
        <f>IF(คะแนนเก็บหลังกลางภาค!N47="","",คะแนนเก็บหลังกลางภาค!N47)</f>
        <v/>
      </c>
      <c r="AG44" t="str">
        <f>IF(คะแนนเก็บหลังกลางภาค!O47="","",คะแนนเก็บหลังกลางภาค!O47)</f>
        <v/>
      </c>
      <c r="AH44" t="str">
        <f>IF(คะแนนเก็บหลังกลางภาค!P47="","",คะแนนเก็บหลังกลางภาค!P47)</f>
        <v/>
      </c>
      <c r="AI44" t="str">
        <f>IF(คะแนนเก็บหลังกลางภาค!Q47="","",คะแนนเก็บหลังกลางภาค!Q47)</f>
        <v/>
      </c>
      <c r="AJ44" t="str">
        <f>IF(คะแนนเก็บหลังกลางภาค!R47="","",คะแนนเก็บหลังกลางภาค!R47)</f>
        <v/>
      </c>
      <c r="AK44" t="str">
        <f>IF(คะแนนเก็บหลังกลางภาค!S47="","",คะแนนเก็บหลังกลางภาค!S47)</f>
        <v/>
      </c>
      <c r="AL44" t="str">
        <f>IF(คะแนนเก็บหลังกลางภาค!T47="","",คะแนนเก็บหลังกลางภาค!T47)</f>
        <v/>
      </c>
      <c r="AM44" t="str">
        <f>IF(คะแนนเก็บหลังกลางภาค!U47="","",คะแนนเก็บหลังกลางภาค!U47)</f>
        <v/>
      </c>
      <c r="AN44" t="str">
        <f>IF(คะแนนเก็บหลังกลางภาค!V47="","",คะแนนเก็บหลังกลางภาค!V47)</f>
        <v/>
      </c>
      <c r="AO44" t="str">
        <f>IF(คะแนนเก็บหลังกลางภาค!W47="","",คะแนนเก็บหลังกลางภาค!W47)</f>
        <v/>
      </c>
      <c r="AP44" t="str">
        <f>IF(คุณลักษณะอันพึงประสงค์!D47="","",คุณลักษณะอันพึงประสงค์!D47)</f>
        <v/>
      </c>
      <c r="AQ44" t="str">
        <f>IF(คุณลักษณะอันพึงประสงค์!E47="","",คุณลักษณะอันพึงประสงค์!E47)</f>
        <v/>
      </c>
      <c r="AR44" t="str">
        <f>IF(คุณลักษณะอันพึงประสงค์!F47="","",คุณลักษณะอันพึงประสงค์!F47)</f>
        <v/>
      </c>
      <c r="AS44" t="str">
        <f>IF(คุณลักษณะอันพึงประสงค์!G47="","",คุณลักษณะอันพึงประสงค์!G47)</f>
        <v/>
      </c>
      <c r="AT44" t="str">
        <f>IF(คุณลักษณะอันพึงประสงค์!H47="","",คุณลักษณะอันพึงประสงค์!H47)</f>
        <v/>
      </c>
      <c r="AU44" t="str">
        <f>IF(คุณลักษณะอันพึงประสงค์!I47="","",คุณลักษณะอันพึงประสงค์!I47)</f>
        <v/>
      </c>
      <c r="AV44" t="str">
        <f>IF(คุณลักษณะอันพึงประสงค์!J47="","",คุณลักษณะอันพึงประสงค์!J47)</f>
        <v/>
      </c>
      <c r="AW44" t="str">
        <f>IF(คุณลักษณะอันพึงประสงค์!K47="","",คุณลักษณะอันพึงประสงค์!K47)</f>
        <v/>
      </c>
      <c r="AX44" t="str">
        <f>IF(คุณลักษณะอันพึงประสงค์!L47="","",คุณลักษณะอันพึงประสงค์!L47)</f>
        <v/>
      </c>
      <c r="AY44" t="str">
        <f>IF(คุณลักษณะอันพึงประสงค์!M47="","",คุณลักษณะอันพึงประสงค์!M47)</f>
        <v/>
      </c>
      <c r="AZ44" t="str">
        <f>IF(กลางภาค!D47="","",กลางภาค!D47)</f>
        <v/>
      </c>
      <c r="BA44" t="str">
        <f>IF(กลางภาค!E47="","",กลางภาค!E47)</f>
        <v/>
      </c>
      <c r="BB44" t="str">
        <f>IF(กลางภาค!F47="","",กลางภาค!F47)</f>
        <v/>
      </c>
      <c r="BC44" t="str">
        <f>IF(กลางภาค!G47="","",กลางภาค!G47)</f>
        <v/>
      </c>
      <c r="BD44" t="str">
        <f>IF(กลางภาค!H47="","",กลางภาค!H47)</f>
        <v/>
      </c>
      <c r="BE44" t="str">
        <f>IF(กลางภาค!I47="","",กลางภาค!I47)</f>
        <v/>
      </c>
      <c r="BF44" t="str">
        <f>IF(กลางภาค!J47="","",กลางภาค!J47)</f>
        <v/>
      </c>
      <c r="BG44" t="str">
        <f>IF(กลางภาค!K47="","",กลางภาค!K47)</f>
        <v/>
      </c>
      <c r="BH44" t="str">
        <f>IF(กลางภาค!L47="","",กลางภาค!L47)</f>
        <v/>
      </c>
      <c r="BI44" t="str">
        <f>IF(กลางภาค!M47="","",กลางภาค!M47)</f>
        <v/>
      </c>
      <c r="BJ44" t="str">
        <f>IF(ปลายภาค!D47="","",ปลายภาค!D47)</f>
        <v/>
      </c>
      <c r="BK44" t="str">
        <f>IF(ปลายภาค!E47="","",ปลายภาค!E47)</f>
        <v/>
      </c>
      <c r="BL44" t="str">
        <f>IF(ปลายภาค!F47="","",ปลายภาค!F47)</f>
        <v/>
      </c>
      <c r="BM44" t="str">
        <f>IF(ปลายภาค!G47="","",ปลายภาค!G47)</f>
        <v/>
      </c>
      <c r="BN44" t="str">
        <f>IF(ปลายภาค!H47="","",ปลายภาค!H47)</f>
        <v/>
      </c>
      <c r="BO44" t="str">
        <f>IF(ปลายภาค!I47="","",ปลายภาค!I47)</f>
        <v/>
      </c>
      <c r="BP44" t="str">
        <f>IF(ปลายภาค!J47="","",ปลายภาค!J47)</f>
        <v/>
      </c>
      <c r="BQ44" t="str">
        <f>IF(ปลายภาค!K47="","",ปลายภาค!K47)</f>
        <v/>
      </c>
      <c r="BR44" t="str">
        <f>IF(ปลายภาค!L47="","",ปลายภาค!L47)</f>
        <v/>
      </c>
      <c r="BS44" t="str">
        <f>IF(ปลายภาค!M47="","",ปลายภาค!M47)</f>
        <v/>
      </c>
      <c r="BT44" t="str">
        <f>IF(กลางภาค!N47="","",กลางภาค!N47)</f>
        <v/>
      </c>
      <c r="BU44" t="str">
        <f>IF(ปลายภาค!N47="","",ปลายภาค!N47)</f>
        <v/>
      </c>
      <c r="BV44" t="str">
        <f>IF(คุณลักษณะอันพึงประสงค์!X47="","",คุณลักษณะอันพึงประสงค์!X47)</f>
        <v/>
      </c>
      <c r="BW44" t="str">
        <f>IF(อ่านคิดวิเคราะห์!I47="","",อ่านคิดวิเคราะห์!I47)</f>
        <v/>
      </c>
      <c r="BX44" t="str">
        <f>IF(สมรรถนะ!N47="","",สมรรถนะ!N47)</f>
        <v/>
      </c>
      <c r="BY44" t="str">
        <f>IF(อ่านคิดวิเคราะห์!D47="","",อ่านคิดวิเคราะห์!D47)</f>
        <v/>
      </c>
      <c r="BZ44" t="str">
        <f>IF(อ่านคิดวิเคราะห์!E47="","",อ่านคิดวิเคราะห์!E47)</f>
        <v/>
      </c>
      <c r="CA44" t="str">
        <f>IF(อ่านคิดวิเคราะห์!F47="","",อ่านคิดวิเคราะห์!F47)</f>
        <v/>
      </c>
      <c r="CB44" t="str">
        <f>IF(อ่านคิดวิเคราะห์!G47="","",อ่านคิดวิเคราะห์!G47)</f>
        <v/>
      </c>
      <c r="CC44" t="str">
        <f>IF(อ่านคิดวิเคราะห์!H47="","",อ่านคิดวิเคราะห์!H47)</f>
        <v/>
      </c>
      <c r="CD44" t="str">
        <f>IF(สมรรถนะ!D47="","",สมรรถนะ!D47)</f>
        <v/>
      </c>
      <c r="CE44" t="str">
        <f>IF(สมรรถนะ!E47="","",สมรรถนะ!E47)</f>
        <v/>
      </c>
      <c r="CF44" t="str">
        <f>IF(สมรรถนะ!F47="","",สมรรถนะ!F47)</f>
        <v/>
      </c>
      <c r="CG44" t="str">
        <f>IF(สมรรถนะ!G47="","",สมรรถนะ!G47)</f>
        <v/>
      </c>
      <c r="CH44" t="str">
        <f>IF(สมรรถนะ!H47="","",สมรรถนะ!H47)</f>
        <v/>
      </c>
      <c r="CI44" t="str">
        <f>IF(สมรรถนะ!I47="","",สมรรถนะ!I47)</f>
        <v/>
      </c>
      <c r="CJ44" t="str">
        <f>IF(สมรรถนะ!J47="","",สมรรถนะ!J47)</f>
        <v/>
      </c>
      <c r="CK44" t="str">
        <f>IF(สมรรถนะ!K47="","",สมรรถนะ!K47)</f>
        <v/>
      </c>
      <c r="CL44" t="str">
        <f>IF(สมรรถนะ!L47="","",สมรรถนะ!L47)</f>
        <v/>
      </c>
      <c r="CM44" t="str">
        <f>IF(สมรรถนะ!M47="","",สมรรถนะ!M47)</f>
        <v/>
      </c>
      <c r="CN44" t="str">
        <f>IF(คุณลักษณะอันพึงประสงค์!N47="","",คุณลักษณะอันพึงประสงค์!N47)</f>
        <v/>
      </c>
      <c r="CO44" t="str">
        <f>IF(คุณลักษณะอันพึงประสงค์!O47="","",คุณลักษณะอันพึงประสงค์!O47)</f>
        <v/>
      </c>
      <c r="CP44" t="str">
        <f>IF(คุณลักษณะอันพึงประสงค์!P47="","",คุณลักษณะอันพึงประสงค์!P47)</f>
        <v/>
      </c>
      <c r="CQ44" t="str">
        <f>IF(คุณลักษณะอันพึงประสงค์!Q47="","",คุณลักษณะอันพึงประสงค์!Q47)</f>
        <v/>
      </c>
      <c r="CR44" t="str">
        <f>IF(คุณลักษณะอันพึงประสงค์!R47="","",คุณลักษณะอันพึงประสงค์!R47)</f>
        <v/>
      </c>
      <c r="CS44" t="str">
        <f>IF(คุณลักษณะอันพึงประสงค์!S47="","",คุณลักษณะอันพึงประสงค์!S47)</f>
        <v/>
      </c>
      <c r="CT44" t="str">
        <f>IF(คุณลักษณะอันพึงประสงค์!T47="","",คุณลักษณะอันพึงประสงค์!T47)</f>
        <v/>
      </c>
      <c r="CU44" t="str">
        <f>IF(คุณลักษณะอันพึงประสงค์!U47="","",คุณลักษณะอันพึงประสงค์!U47)</f>
        <v/>
      </c>
      <c r="CV44" t="str">
        <f>IF(คุณลักษณะอันพึงประสงค์!V47="","",คุณลักษณะอันพึงประสงค์!V47)</f>
        <v/>
      </c>
      <c r="CW44" t="str">
        <f>IF(คุณลักษณะอันพึงประสงค์!W47="","",คุณลักษณะอันพึงประสงค์!W47)</f>
        <v/>
      </c>
    </row>
    <row r="45" spans="1:101">
      <c r="A45" t="str">
        <f>IF(คะแนนเก็บ!B48="","",คะแนนเก็บ!B48)</f>
        <v/>
      </c>
      <c r="B45" t="str">
        <f>IF(คะแนนเก็บ!D48="","",คะแนนเก็บ!D48)</f>
        <v/>
      </c>
      <c r="C45" t="str">
        <f>IF(คะแนนเก็บ!E48="","",คะแนนเก็บ!E48)</f>
        <v/>
      </c>
      <c r="D45" t="str">
        <f>IF(คะแนนเก็บ!F48="","",คะแนนเก็บ!F48)</f>
        <v/>
      </c>
      <c r="E45" t="str">
        <f>IF(คะแนนเก็บ!G48="","",คะแนนเก็บ!G48)</f>
        <v/>
      </c>
      <c r="F45" t="str">
        <f>IF(คะแนนเก็บ!H48="","",คะแนนเก็บ!H48)</f>
        <v/>
      </c>
      <c r="G45" t="str">
        <f>IF(คะแนนเก็บ!I48="","",คะแนนเก็บ!I48)</f>
        <v/>
      </c>
      <c r="H45" t="str">
        <f>IF(คะแนนเก็บ!J48="","",คะแนนเก็บ!J48)</f>
        <v/>
      </c>
      <c r="I45" t="str">
        <f>IF(คะแนนเก็บ!K48="","",คะแนนเก็บ!K48)</f>
        <v/>
      </c>
      <c r="J45" t="str">
        <f>IF(คะแนนเก็บ!L48="","",คะแนนเก็บ!L48)</f>
        <v/>
      </c>
      <c r="K45" t="str">
        <f>IF(คะแนนเก็บ!M48="","",คะแนนเก็บ!M48)</f>
        <v/>
      </c>
      <c r="L45" t="str">
        <f>IF(คะแนนเก็บ!N48="","",คะแนนเก็บ!N48)</f>
        <v/>
      </c>
      <c r="M45" t="str">
        <f>IF(คะแนนเก็บ!O48="","",คะแนนเก็บ!O48)</f>
        <v/>
      </c>
      <c r="N45" t="str">
        <f>IF(คะแนนเก็บ!P48="","",คะแนนเก็บ!P48)</f>
        <v/>
      </c>
      <c r="O45" t="str">
        <f>IF(คะแนนเก็บ!Q48="","",คะแนนเก็บ!Q48)</f>
        <v/>
      </c>
      <c r="P45" t="str">
        <f>IF(คะแนนเก็บ!R48="","",คะแนนเก็บ!R48)</f>
        <v/>
      </c>
      <c r="Q45" t="str">
        <f>IF(คะแนนเก็บ!S48="","",คะแนนเก็บ!S48)</f>
        <v/>
      </c>
      <c r="R45" t="str">
        <f>IF(คะแนนเก็บ!T48="","",คะแนนเก็บ!T48)</f>
        <v/>
      </c>
      <c r="S45" t="str">
        <f>IF(คะแนนเก็บ!U48="","",คะแนนเก็บ!U48)</f>
        <v/>
      </c>
      <c r="T45" t="str">
        <f>IF(คะแนนเก็บ!V48="","",คะแนนเก็บ!V48)</f>
        <v/>
      </c>
      <c r="U45" t="str">
        <f>IF(คะแนนเก็บ!W48="","",คะแนนเก็บ!W48)</f>
        <v/>
      </c>
      <c r="V45" t="str">
        <f>IF(คะแนนเก็บหลังกลางภาค!D48="","",คะแนนเก็บหลังกลางภาค!D48)</f>
        <v/>
      </c>
      <c r="W45" t="str">
        <f>IF(คะแนนเก็บหลังกลางภาค!E48="","",คะแนนเก็บหลังกลางภาค!E48)</f>
        <v/>
      </c>
      <c r="X45" t="str">
        <f>IF(คะแนนเก็บหลังกลางภาค!F48="","",คะแนนเก็บหลังกลางภาค!F48)</f>
        <v/>
      </c>
      <c r="Y45" t="str">
        <f>IF(คะแนนเก็บหลังกลางภาค!G48="","",คะแนนเก็บหลังกลางภาค!G48)</f>
        <v/>
      </c>
      <c r="Z45" t="str">
        <f>IF(คะแนนเก็บหลังกลางภาค!H48="","",คะแนนเก็บหลังกลางภาค!H48)</f>
        <v/>
      </c>
      <c r="AA45" t="str">
        <f>IF(คะแนนเก็บหลังกลางภาค!I48="","",คะแนนเก็บหลังกลางภาค!I48)</f>
        <v/>
      </c>
      <c r="AB45" t="str">
        <f>IF(คะแนนเก็บหลังกลางภาค!J48="","",คะแนนเก็บหลังกลางภาค!J48)</f>
        <v/>
      </c>
      <c r="AC45" t="str">
        <f>IF(คะแนนเก็บหลังกลางภาค!K48="","",คะแนนเก็บหลังกลางภาค!K48)</f>
        <v/>
      </c>
      <c r="AD45" t="str">
        <f>IF(คะแนนเก็บหลังกลางภาค!L48="","",คะแนนเก็บหลังกลางภาค!L48)</f>
        <v/>
      </c>
      <c r="AE45" t="str">
        <f>IF(คะแนนเก็บหลังกลางภาค!M48="","",คะแนนเก็บหลังกลางภาค!M48)</f>
        <v/>
      </c>
      <c r="AF45" t="str">
        <f>IF(คะแนนเก็บหลังกลางภาค!N48="","",คะแนนเก็บหลังกลางภาค!N48)</f>
        <v/>
      </c>
      <c r="AG45" t="str">
        <f>IF(คะแนนเก็บหลังกลางภาค!O48="","",คะแนนเก็บหลังกลางภาค!O48)</f>
        <v/>
      </c>
      <c r="AH45" t="str">
        <f>IF(คะแนนเก็บหลังกลางภาค!P48="","",คะแนนเก็บหลังกลางภาค!P48)</f>
        <v/>
      </c>
      <c r="AI45" t="str">
        <f>IF(คะแนนเก็บหลังกลางภาค!Q48="","",คะแนนเก็บหลังกลางภาค!Q48)</f>
        <v/>
      </c>
      <c r="AJ45" t="str">
        <f>IF(คะแนนเก็บหลังกลางภาค!R48="","",คะแนนเก็บหลังกลางภาค!R48)</f>
        <v/>
      </c>
      <c r="AK45" t="str">
        <f>IF(คะแนนเก็บหลังกลางภาค!S48="","",คะแนนเก็บหลังกลางภาค!S48)</f>
        <v/>
      </c>
      <c r="AL45" t="str">
        <f>IF(คะแนนเก็บหลังกลางภาค!T48="","",คะแนนเก็บหลังกลางภาค!T48)</f>
        <v/>
      </c>
      <c r="AM45" t="str">
        <f>IF(คะแนนเก็บหลังกลางภาค!U48="","",คะแนนเก็บหลังกลางภาค!U48)</f>
        <v/>
      </c>
      <c r="AN45" t="str">
        <f>IF(คะแนนเก็บหลังกลางภาค!V48="","",คะแนนเก็บหลังกลางภาค!V48)</f>
        <v/>
      </c>
      <c r="AO45" t="str">
        <f>IF(คะแนนเก็บหลังกลางภาค!W48="","",คะแนนเก็บหลังกลางภาค!W48)</f>
        <v/>
      </c>
      <c r="AP45" t="str">
        <f>IF(คุณลักษณะอันพึงประสงค์!D48="","",คุณลักษณะอันพึงประสงค์!D48)</f>
        <v/>
      </c>
      <c r="AQ45" t="str">
        <f>IF(คุณลักษณะอันพึงประสงค์!E48="","",คุณลักษณะอันพึงประสงค์!E48)</f>
        <v/>
      </c>
      <c r="AR45" t="str">
        <f>IF(คุณลักษณะอันพึงประสงค์!F48="","",คุณลักษณะอันพึงประสงค์!F48)</f>
        <v/>
      </c>
      <c r="AS45" t="str">
        <f>IF(คุณลักษณะอันพึงประสงค์!G48="","",คุณลักษณะอันพึงประสงค์!G48)</f>
        <v/>
      </c>
      <c r="AT45" t="str">
        <f>IF(คุณลักษณะอันพึงประสงค์!H48="","",คุณลักษณะอันพึงประสงค์!H48)</f>
        <v/>
      </c>
      <c r="AU45" t="str">
        <f>IF(คุณลักษณะอันพึงประสงค์!I48="","",คุณลักษณะอันพึงประสงค์!I48)</f>
        <v/>
      </c>
      <c r="AV45" t="str">
        <f>IF(คุณลักษณะอันพึงประสงค์!J48="","",คุณลักษณะอันพึงประสงค์!J48)</f>
        <v/>
      </c>
      <c r="AW45" t="str">
        <f>IF(คุณลักษณะอันพึงประสงค์!K48="","",คุณลักษณะอันพึงประสงค์!K48)</f>
        <v/>
      </c>
      <c r="AX45" t="str">
        <f>IF(คุณลักษณะอันพึงประสงค์!L48="","",คุณลักษณะอันพึงประสงค์!L48)</f>
        <v/>
      </c>
      <c r="AY45" t="str">
        <f>IF(คุณลักษณะอันพึงประสงค์!M48="","",คุณลักษณะอันพึงประสงค์!M48)</f>
        <v/>
      </c>
      <c r="AZ45" t="str">
        <f>IF(กลางภาค!D48="","",กลางภาค!D48)</f>
        <v/>
      </c>
      <c r="BA45" t="str">
        <f>IF(กลางภาค!E48="","",กลางภาค!E48)</f>
        <v/>
      </c>
      <c r="BB45" t="str">
        <f>IF(กลางภาค!F48="","",กลางภาค!F48)</f>
        <v/>
      </c>
      <c r="BC45" t="str">
        <f>IF(กลางภาค!G48="","",กลางภาค!G48)</f>
        <v/>
      </c>
      <c r="BD45" t="str">
        <f>IF(กลางภาค!H48="","",กลางภาค!H48)</f>
        <v/>
      </c>
      <c r="BE45" t="str">
        <f>IF(กลางภาค!I48="","",กลางภาค!I48)</f>
        <v/>
      </c>
      <c r="BF45" t="str">
        <f>IF(กลางภาค!J48="","",กลางภาค!J48)</f>
        <v/>
      </c>
      <c r="BG45" t="str">
        <f>IF(กลางภาค!K48="","",กลางภาค!K48)</f>
        <v/>
      </c>
      <c r="BH45" t="str">
        <f>IF(กลางภาค!L48="","",กลางภาค!L48)</f>
        <v/>
      </c>
      <c r="BI45" t="str">
        <f>IF(กลางภาค!M48="","",กลางภาค!M48)</f>
        <v/>
      </c>
      <c r="BJ45" t="str">
        <f>IF(ปลายภาค!D48="","",ปลายภาค!D48)</f>
        <v/>
      </c>
      <c r="BK45" t="str">
        <f>IF(ปลายภาค!E48="","",ปลายภาค!E48)</f>
        <v/>
      </c>
      <c r="BL45" t="str">
        <f>IF(ปลายภาค!F48="","",ปลายภาค!F48)</f>
        <v/>
      </c>
      <c r="BM45" t="str">
        <f>IF(ปลายภาค!G48="","",ปลายภาค!G48)</f>
        <v/>
      </c>
      <c r="BN45" t="str">
        <f>IF(ปลายภาค!H48="","",ปลายภาค!H48)</f>
        <v/>
      </c>
      <c r="BO45" t="str">
        <f>IF(ปลายภาค!I48="","",ปลายภาค!I48)</f>
        <v/>
      </c>
      <c r="BP45" t="str">
        <f>IF(ปลายภาค!J48="","",ปลายภาค!J48)</f>
        <v/>
      </c>
      <c r="BQ45" t="str">
        <f>IF(ปลายภาค!K48="","",ปลายภาค!K48)</f>
        <v/>
      </c>
      <c r="BR45" t="str">
        <f>IF(ปลายภาค!L48="","",ปลายภาค!L48)</f>
        <v/>
      </c>
      <c r="BS45" t="str">
        <f>IF(ปลายภาค!M48="","",ปลายภาค!M48)</f>
        <v/>
      </c>
      <c r="BT45" t="str">
        <f>IF(กลางภาค!N48="","",กลางภาค!N48)</f>
        <v/>
      </c>
      <c r="BU45" t="str">
        <f>IF(ปลายภาค!N48="","",ปลายภาค!N48)</f>
        <v/>
      </c>
      <c r="BV45" t="str">
        <f>IF(คุณลักษณะอันพึงประสงค์!X48="","",คุณลักษณะอันพึงประสงค์!X48)</f>
        <v/>
      </c>
      <c r="BW45" t="str">
        <f>IF(อ่านคิดวิเคราะห์!I48="","",อ่านคิดวิเคราะห์!I48)</f>
        <v/>
      </c>
      <c r="BX45" t="str">
        <f>IF(สมรรถนะ!N48="","",สมรรถนะ!N48)</f>
        <v/>
      </c>
      <c r="BY45" t="str">
        <f>IF(อ่านคิดวิเคราะห์!D48="","",อ่านคิดวิเคราะห์!D48)</f>
        <v/>
      </c>
      <c r="BZ45" t="str">
        <f>IF(อ่านคิดวิเคราะห์!E48="","",อ่านคิดวิเคราะห์!E48)</f>
        <v/>
      </c>
      <c r="CA45" t="str">
        <f>IF(อ่านคิดวิเคราะห์!F48="","",อ่านคิดวิเคราะห์!F48)</f>
        <v/>
      </c>
      <c r="CB45" t="str">
        <f>IF(อ่านคิดวิเคราะห์!G48="","",อ่านคิดวิเคราะห์!G48)</f>
        <v/>
      </c>
      <c r="CC45" t="str">
        <f>IF(อ่านคิดวิเคราะห์!H48="","",อ่านคิดวิเคราะห์!H48)</f>
        <v/>
      </c>
      <c r="CD45" t="str">
        <f>IF(สมรรถนะ!D48="","",สมรรถนะ!D48)</f>
        <v/>
      </c>
      <c r="CE45" t="str">
        <f>IF(สมรรถนะ!E48="","",สมรรถนะ!E48)</f>
        <v/>
      </c>
      <c r="CF45" t="str">
        <f>IF(สมรรถนะ!F48="","",สมรรถนะ!F48)</f>
        <v/>
      </c>
      <c r="CG45" t="str">
        <f>IF(สมรรถนะ!G48="","",สมรรถนะ!G48)</f>
        <v/>
      </c>
      <c r="CH45" t="str">
        <f>IF(สมรรถนะ!H48="","",สมรรถนะ!H48)</f>
        <v/>
      </c>
      <c r="CI45" t="str">
        <f>IF(สมรรถนะ!I48="","",สมรรถนะ!I48)</f>
        <v/>
      </c>
      <c r="CJ45" t="str">
        <f>IF(สมรรถนะ!J48="","",สมรรถนะ!J48)</f>
        <v/>
      </c>
      <c r="CK45" t="str">
        <f>IF(สมรรถนะ!K48="","",สมรรถนะ!K48)</f>
        <v/>
      </c>
      <c r="CL45" t="str">
        <f>IF(สมรรถนะ!L48="","",สมรรถนะ!L48)</f>
        <v/>
      </c>
      <c r="CM45" t="str">
        <f>IF(สมรรถนะ!M48="","",สมรรถนะ!M48)</f>
        <v/>
      </c>
      <c r="CN45" t="str">
        <f>IF(คุณลักษณะอันพึงประสงค์!N48="","",คุณลักษณะอันพึงประสงค์!N48)</f>
        <v/>
      </c>
      <c r="CO45" t="str">
        <f>IF(คุณลักษณะอันพึงประสงค์!O48="","",คุณลักษณะอันพึงประสงค์!O48)</f>
        <v/>
      </c>
      <c r="CP45" t="str">
        <f>IF(คุณลักษณะอันพึงประสงค์!P48="","",คุณลักษณะอันพึงประสงค์!P48)</f>
        <v/>
      </c>
      <c r="CQ45" t="str">
        <f>IF(คุณลักษณะอันพึงประสงค์!Q48="","",คุณลักษณะอันพึงประสงค์!Q48)</f>
        <v/>
      </c>
      <c r="CR45" t="str">
        <f>IF(คุณลักษณะอันพึงประสงค์!R48="","",คุณลักษณะอันพึงประสงค์!R48)</f>
        <v/>
      </c>
      <c r="CS45" t="str">
        <f>IF(คุณลักษณะอันพึงประสงค์!S48="","",คุณลักษณะอันพึงประสงค์!S48)</f>
        <v/>
      </c>
      <c r="CT45" t="str">
        <f>IF(คุณลักษณะอันพึงประสงค์!T48="","",คุณลักษณะอันพึงประสงค์!T48)</f>
        <v/>
      </c>
      <c r="CU45" t="str">
        <f>IF(คุณลักษณะอันพึงประสงค์!U48="","",คุณลักษณะอันพึงประสงค์!U48)</f>
        <v/>
      </c>
      <c r="CV45" t="str">
        <f>IF(คุณลักษณะอันพึงประสงค์!V48="","",คุณลักษณะอันพึงประสงค์!V48)</f>
        <v/>
      </c>
      <c r="CW45" t="str">
        <f>IF(คุณลักษณะอันพึงประสงค์!W48="","",คุณลักษณะอันพึงประสงค์!W48)</f>
        <v/>
      </c>
    </row>
    <row r="46" spans="1:101">
      <c r="A46" t="str">
        <f>IF(คะแนนเก็บ!B49="","",คะแนนเก็บ!B49)</f>
        <v/>
      </c>
      <c r="B46" t="str">
        <f>IF(คะแนนเก็บ!D49="","",คะแนนเก็บ!D49)</f>
        <v/>
      </c>
      <c r="C46" t="str">
        <f>IF(คะแนนเก็บ!E49="","",คะแนนเก็บ!E49)</f>
        <v/>
      </c>
      <c r="D46" t="str">
        <f>IF(คะแนนเก็บ!F49="","",คะแนนเก็บ!F49)</f>
        <v/>
      </c>
      <c r="E46" t="str">
        <f>IF(คะแนนเก็บ!G49="","",คะแนนเก็บ!G49)</f>
        <v/>
      </c>
      <c r="F46" t="str">
        <f>IF(คะแนนเก็บ!H49="","",คะแนนเก็บ!H49)</f>
        <v/>
      </c>
      <c r="G46" t="str">
        <f>IF(คะแนนเก็บ!I49="","",คะแนนเก็บ!I49)</f>
        <v/>
      </c>
      <c r="H46" t="str">
        <f>IF(คะแนนเก็บ!J49="","",คะแนนเก็บ!J49)</f>
        <v/>
      </c>
      <c r="I46" t="str">
        <f>IF(คะแนนเก็บ!K49="","",คะแนนเก็บ!K49)</f>
        <v/>
      </c>
      <c r="J46" t="str">
        <f>IF(คะแนนเก็บ!L49="","",คะแนนเก็บ!L49)</f>
        <v/>
      </c>
      <c r="K46" t="str">
        <f>IF(คะแนนเก็บ!M49="","",คะแนนเก็บ!M49)</f>
        <v/>
      </c>
      <c r="L46" t="str">
        <f>IF(คะแนนเก็บ!N49="","",คะแนนเก็บ!N49)</f>
        <v/>
      </c>
      <c r="M46" t="str">
        <f>IF(คะแนนเก็บ!O49="","",คะแนนเก็บ!O49)</f>
        <v/>
      </c>
      <c r="N46" t="str">
        <f>IF(คะแนนเก็บ!P49="","",คะแนนเก็บ!P49)</f>
        <v/>
      </c>
      <c r="O46" t="str">
        <f>IF(คะแนนเก็บ!Q49="","",คะแนนเก็บ!Q49)</f>
        <v/>
      </c>
      <c r="P46" t="str">
        <f>IF(คะแนนเก็บ!R49="","",คะแนนเก็บ!R49)</f>
        <v/>
      </c>
      <c r="Q46" t="str">
        <f>IF(คะแนนเก็บ!S49="","",คะแนนเก็บ!S49)</f>
        <v/>
      </c>
      <c r="R46" t="str">
        <f>IF(คะแนนเก็บ!T49="","",คะแนนเก็บ!T49)</f>
        <v/>
      </c>
      <c r="S46" t="str">
        <f>IF(คะแนนเก็บ!U49="","",คะแนนเก็บ!U49)</f>
        <v/>
      </c>
      <c r="T46" t="str">
        <f>IF(คะแนนเก็บ!V49="","",คะแนนเก็บ!V49)</f>
        <v/>
      </c>
      <c r="U46" t="str">
        <f>IF(คะแนนเก็บ!W49="","",คะแนนเก็บ!W49)</f>
        <v/>
      </c>
      <c r="V46" t="str">
        <f>IF(คะแนนเก็บหลังกลางภาค!D49="","",คะแนนเก็บหลังกลางภาค!D49)</f>
        <v/>
      </c>
      <c r="W46" t="str">
        <f>IF(คะแนนเก็บหลังกลางภาค!E49="","",คะแนนเก็บหลังกลางภาค!E49)</f>
        <v/>
      </c>
      <c r="X46" t="str">
        <f>IF(คะแนนเก็บหลังกลางภาค!F49="","",คะแนนเก็บหลังกลางภาค!F49)</f>
        <v/>
      </c>
      <c r="Y46" t="str">
        <f>IF(คะแนนเก็บหลังกลางภาค!G49="","",คะแนนเก็บหลังกลางภาค!G49)</f>
        <v/>
      </c>
      <c r="Z46" t="str">
        <f>IF(คะแนนเก็บหลังกลางภาค!H49="","",คะแนนเก็บหลังกลางภาค!H49)</f>
        <v/>
      </c>
      <c r="AA46" t="str">
        <f>IF(คะแนนเก็บหลังกลางภาค!I49="","",คะแนนเก็บหลังกลางภาค!I49)</f>
        <v/>
      </c>
      <c r="AB46" t="str">
        <f>IF(คะแนนเก็บหลังกลางภาค!J49="","",คะแนนเก็บหลังกลางภาค!J49)</f>
        <v/>
      </c>
      <c r="AC46" t="str">
        <f>IF(คะแนนเก็บหลังกลางภาค!K49="","",คะแนนเก็บหลังกลางภาค!K49)</f>
        <v/>
      </c>
      <c r="AD46" t="str">
        <f>IF(คะแนนเก็บหลังกลางภาค!L49="","",คะแนนเก็บหลังกลางภาค!L49)</f>
        <v/>
      </c>
      <c r="AE46" t="str">
        <f>IF(คะแนนเก็บหลังกลางภาค!M49="","",คะแนนเก็บหลังกลางภาค!M49)</f>
        <v/>
      </c>
      <c r="AF46" t="str">
        <f>IF(คะแนนเก็บหลังกลางภาค!N49="","",คะแนนเก็บหลังกลางภาค!N49)</f>
        <v/>
      </c>
      <c r="AG46" t="str">
        <f>IF(คะแนนเก็บหลังกลางภาค!O49="","",คะแนนเก็บหลังกลางภาค!O49)</f>
        <v/>
      </c>
      <c r="AH46" t="str">
        <f>IF(คะแนนเก็บหลังกลางภาค!P49="","",คะแนนเก็บหลังกลางภาค!P49)</f>
        <v/>
      </c>
      <c r="AI46" t="str">
        <f>IF(คะแนนเก็บหลังกลางภาค!Q49="","",คะแนนเก็บหลังกลางภาค!Q49)</f>
        <v/>
      </c>
      <c r="AJ46" t="str">
        <f>IF(คะแนนเก็บหลังกลางภาค!R49="","",คะแนนเก็บหลังกลางภาค!R49)</f>
        <v/>
      </c>
      <c r="AK46" t="str">
        <f>IF(คะแนนเก็บหลังกลางภาค!S49="","",คะแนนเก็บหลังกลางภาค!S49)</f>
        <v/>
      </c>
      <c r="AL46" t="str">
        <f>IF(คะแนนเก็บหลังกลางภาค!T49="","",คะแนนเก็บหลังกลางภาค!T49)</f>
        <v/>
      </c>
      <c r="AM46" t="str">
        <f>IF(คะแนนเก็บหลังกลางภาค!U49="","",คะแนนเก็บหลังกลางภาค!U49)</f>
        <v/>
      </c>
      <c r="AN46" t="str">
        <f>IF(คะแนนเก็บหลังกลางภาค!V49="","",คะแนนเก็บหลังกลางภาค!V49)</f>
        <v/>
      </c>
      <c r="AO46" t="str">
        <f>IF(คะแนนเก็บหลังกลางภาค!W49="","",คะแนนเก็บหลังกลางภาค!W49)</f>
        <v/>
      </c>
      <c r="AP46" t="str">
        <f>IF(คุณลักษณะอันพึงประสงค์!D49="","",คุณลักษณะอันพึงประสงค์!D49)</f>
        <v/>
      </c>
      <c r="AQ46" t="str">
        <f>IF(คุณลักษณะอันพึงประสงค์!E49="","",คุณลักษณะอันพึงประสงค์!E49)</f>
        <v/>
      </c>
      <c r="AR46" t="str">
        <f>IF(คุณลักษณะอันพึงประสงค์!F49="","",คุณลักษณะอันพึงประสงค์!F49)</f>
        <v/>
      </c>
      <c r="AS46" t="str">
        <f>IF(คุณลักษณะอันพึงประสงค์!G49="","",คุณลักษณะอันพึงประสงค์!G49)</f>
        <v/>
      </c>
      <c r="AT46" t="str">
        <f>IF(คุณลักษณะอันพึงประสงค์!H49="","",คุณลักษณะอันพึงประสงค์!H49)</f>
        <v/>
      </c>
      <c r="AU46" t="str">
        <f>IF(คุณลักษณะอันพึงประสงค์!I49="","",คุณลักษณะอันพึงประสงค์!I49)</f>
        <v/>
      </c>
      <c r="AV46" t="str">
        <f>IF(คุณลักษณะอันพึงประสงค์!J49="","",คุณลักษณะอันพึงประสงค์!J49)</f>
        <v/>
      </c>
      <c r="AW46" t="str">
        <f>IF(คุณลักษณะอันพึงประสงค์!K49="","",คุณลักษณะอันพึงประสงค์!K49)</f>
        <v/>
      </c>
      <c r="AX46" t="str">
        <f>IF(คุณลักษณะอันพึงประสงค์!L49="","",คุณลักษณะอันพึงประสงค์!L49)</f>
        <v/>
      </c>
      <c r="AY46" t="str">
        <f>IF(คุณลักษณะอันพึงประสงค์!M49="","",คุณลักษณะอันพึงประสงค์!M49)</f>
        <v/>
      </c>
      <c r="AZ46" t="str">
        <f>IF(กลางภาค!D49="","",กลางภาค!D49)</f>
        <v/>
      </c>
      <c r="BA46" t="str">
        <f>IF(กลางภาค!E49="","",กลางภาค!E49)</f>
        <v/>
      </c>
      <c r="BB46" t="str">
        <f>IF(กลางภาค!F49="","",กลางภาค!F49)</f>
        <v/>
      </c>
      <c r="BC46" t="str">
        <f>IF(กลางภาค!G49="","",กลางภาค!G49)</f>
        <v/>
      </c>
      <c r="BD46" t="str">
        <f>IF(กลางภาค!H49="","",กลางภาค!H49)</f>
        <v/>
      </c>
      <c r="BE46" t="str">
        <f>IF(กลางภาค!I49="","",กลางภาค!I49)</f>
        <v/>
      </c>
      <c r="BF46" t="str">
        <f>IF(กลางภาค!J49="","",กลางภาค!J49)</f>
        <v/>
      </c>
      <c r="BG46" t="str">
        <f>IF(กลางภาค!K49="","",กลางภาค!K49)</f>
        <v/>
      </c>
      <c r="BH46" t="str">
        <f>IF(กลางภาค!L49="","",กลางภาค!L49)</f>
        <v/>
      </c>
      <c r="BI46" t="str">
        <f>IF(กลางภาค!M49="","",กลางภาค!M49)</f>
        <v/>
      </c>
      <c r="BJ46" t="str">
        <f>IF(ปลายภาค!D49="","",ปลายภาค!D49)</f>
        <v/>
      </c>
      <c r="BK46" t="str">
        <f>IF(ปลายภาค!E49="","",ปลายภาค!E49)</f>
        <v/>
      </c>
      <c r="BL46" t="str">
        <f>IF(ปลายภาค!F49="","",ปลายภาค!F49)</f>
        <v/>
      </c>
      <c r="BM46" t="str">
        <f>IF(ปลายภาค!G49="","",ปลายภาค!G49)</f>
        <v/>
      </c>
      <c r="BN46" t="str">
        <f>IF(ปลายภาค!H49="","",ปลายภาค!H49)</f>
        <v/>
      </c>
      <c r="BO46" t="str">
        <f>IF(ปลายภาค!I49="","",ปลายภาค!I49)</f>
        <v/>
      </c>
      <c r="BP46" t="str">
        <f>IF(ปลายภาค!J49="","",ปลายภาค!J49)</f>
        <v/>
      </c>
      <c r="BQ46" t="str">
        <f>IF(ปลายภาค!K49="","",ปลายภาค!K49)</f>
        <v/>
      </c>
      <c r="BR46" t="str">
        <f>IF(ปลายภาค!L49="","",ปลายภาค!L49)</f>
        <v/>
      </c>
      <c r="BS46" t="str">
        <f>IF(ปลายภาค!M49="","",ปลายภาค!M49)</f>
        <v/>
      </c>
      <c r="BT46" t="str">
        <f>IF(กลางภาค!N49="","",กลางภาค!N49)</f>
        <v/>
      </c>
      <c r="BU46" t="str">
        <f>IF(ปลายภาค!N49="","",ปลายภาค!N49)</f>
        <v/>
      </c>
      <c r="BV46" t="str">
        <f>IF(คุณลักษณะอันพึงประสงค์!X49="","",คุณลักษณะอันพึงประสงค์!X49)</f>
        <v/>
      </c>
      <c r="BW46" t="str">
        <f>IF(อ่านคิดวิเคราะห์!I49="","",อ่านคิดวิเคราะห์!I49)</f>
        <v/>
      </c>
      <c r="BX46" t="str">
        <f>IF(สมรรถนะ!N49="","",สมรรถนะ!N49)</f>
        <v/>
      </c>
      <c r="BY46" t="str">
        <f>IF(อ่านคิดวิเคราะห์!D49="","",อ่านคิดวิเคราะห์!D49)</f>
        <v/>
      </c>
      <c r="BZ46" t="str">
        <f>IF(อ่านคิดวิเคราะห์!E49="","",อ่านคิดวิเคราะห์!E49)</f>
        <v/>
      </c>
      <c r="CA46" t="str">
        <f>IF(อ่านคิดวิเคราะห์!F49="","",อ่านคิดวิเคราะห์!F49)</f>
        <v/>
      </c>
      <c r="CB46" t="str">
        <f>IF(อ่านคิดวิเคราะห์!G49="","",อ่านคิดวิเคราะห์!G49)</f>
        <v/>
      </c>
      <c r="CC46" t="str">
        <f>IF(อ่านคิดวิเคราะห์!H49="","",อ่านคิดวิเคราะห์!H49)</f>
        <v/>
      </c>
      <c r="CD46" t="str">
        <f>IF(สมรรถนะ!D49="","",สมรรถนะ!D49)</f>
        <v/>
      </c>
      <c r="CE46" t="str">
        <f>IF(สมรรถนะ!E49="","",สมรรถนะ!E49)</f>
        <v/>
      </c>
      <c r="CF46" t="str">
        <f>IF(สมรรถนะ!F49="","",สมรรถนะ!F49)</f>
        <v/>
      </c>
      <c r="CG46" t="str">
        <f>IF(สมรรถนะ!G49="","",สมรรถนะ!G49)</f>
        <v/>
      </c>
      <c r="CH46" t="str">
        <f>IF(สมรรถนะ!H49="","",สมรรถนะ!H49)</f>
        <v/>
      </c>
      <c r="CI46" t="str">
        <f>IF(สมรรถนะ!I49="","",สมรรถนะ!I49)</f>
        <v/>
      </c>
      <c r="CJ46" t="str">
        <f>IF(สมรรถนะ!J49="","",สมรรถนะ!J49)</f>
        <v/>
      </c>
      <c r="CK46" t="str">
        <f>IF(สมรรถนะ!K49="","",สมรรถนะ!K49)</f>
        <v/>
      </c>
      <c r="CL46" t="str">
        <f>IF(สมรรถนะ!L49="","",สมรรถนะ!L49)</f>
        <v/>
      </c>
      <c r="CM46" t="str">
        <f>IF(สมรรถนะ!M49="","",สมรรถนะ!M49)</f>
        <v/>
      </c>
      <c r="CN46" t="str">
        <f>IF(คุณลักษณะอันพึงประสงค์!N49="","",คุณลักษณะอันพึงประสงค์!N49)</f>
        <v/>
      </c>
      <c r="CO46" t="str">
        <f>IF(คุณลักษณะอันพึงประสงค์!O49="","",คุณลักษณะอันพึงประสงค์!O49)</f>
        <v/>
      </c>
      <c r="CP46" t="str">
        <f>IF(คุณลักษณะอันพึงประสงค์!P49="","",คุณลักษณะอันพึงประสงค์!P49)</f>
        <v/>
      </c>
      <c r="CQ46" t="str">
        <f>IF(คุณลักษณะอันพึงประสงค์!Q49="","",คุณลักษณะอันพึงประสงค์!Q49)</f>
        <v/>
      </c>
      <c r="CR46" t="str">
        <f>IF(คุณลักษณะอันพึงประสงค์!R49="","",คุณลักษณะอันพึงประสงค์!R49)</f>
        <v/>
      </c>
      <c r="CS46" t="str">
        <f>IF(คุณลักษณะอันพึงประสงค์!S49="","",คุณลักษณะอันพึงประสงค์!S49)</f>
        <v/>
      </c>
      <c r="CT46" t="str">
        <f>IF(คุณลักษณะอันพึงประสงค์!T49="","",คุณลักษณะอันพึงประสงค์!T49)</f>
        <v/>
      </c>
      <c r="CU46" t="str">
        <f>IF(คุณลักษณะอันพึงประสงค์!U49="","",คุณลักษณะอันพึงประสงค์!U49)</f>
        <v/>
      </c>
      <c r="CV46" t="str">
        <f>IF(คุณลักษณะอันพึงประสงค์!V49="","",คุณลักษณะอันพึงประสงค์!V49)</f>
        <v/>
      </c>
      <c r="CW46" t="str">
        <f>IF(คุณลักษณะอันพึงประสงค์!W49="","",คุณลักษณะอันพึงประสงค์!W49)</f>
        <v/>
      </c>
    </row>
    <row r="47" spans="1:101">
      <c r="A47" t="str">
        <f>IF(คะแนนเก็บ!B50="","",คะแนนเก็บ!B50)</f>
        <v/>
      </c>
      <c r="B47" t="str">
        <f>IF(คะแนนเก็บ!D50="","",คะแนนเก็บ!D50)</f>
        <v/>
      </c>
      <c r="C47" t="str">
        <f>IF(คะแนนเก็บ!E50="","",คะแนนเก็บ!E50)</f>
        <v/>
      </c>
      <c r="D47" t="str">
        <f>IF(คะแนนเก็บ!F50="","",คะแนนเก็บ!F50)</f>
        <v/>
      </c>
      <c r="E47" t="str">
        <f>IF(คะแนนเก็บ!G50="","",คะแนนเก็บ!G50)</f>
        <v/>
      </c>
      <c r="F47" t="str">
        <f>IF(คะแนนเก็บ!H50="","",คะแนนเก็บ!H50)</f>
        <v/>
      </c>
      <c r="G47" t="str">
        <f>IF(คะแนนเก็บ!I50="","",คะแนนเก็บ!I50)</f>
        <v/>
      </c>
      <c r="H47" t="str">
        <f>IF(คะแนนเก็บ!J50="","",คะแนนเก็บ!J50)</f>
        <v/>
      </c>
      <c r="I47" t="str">
        <f>IF(คะแนนเก็บ!K50="","",คะแนนเก็บ!K50)</f>
        <v/>
      </c>
      <c r="J47" t="str">
        <f>IF(คะแนนเก็บ!L50="","",คะแนนเก็บ!L50)</f>
        <v/>
      </c>
      <c r="K47" t="str">
        <f>IF(คะแนนเก็บ!M50="","",คะแนนเก็บ!M50)</f>
        <v/>
      </c>
      <c r="L47" t="str">
        <f>IF(คะแนนเก็บ!N50="","",คะแนนเก็บ!N50)</f>
        <v/>
      </c>
      <c r="M47" t="str">
        <f>IF(คะแนนเก็บ!O50="","",คะแนนเก็บ!O50)</f>
        <v/>
      </c>
      <c r="N47" t="str">
        <f>IF(คะแนนเก็บ!P50="","",คะแนนเก็บ!P50)</f>
        <v/>
      </c>
      <c r="O47" t="str">
        <f>IF(คะแนนเก็บ!Q50="","",คะแนนเก็บ!Q50)</f>
        <v/>
      </c>
      <c r="P47" t="str">
        <f>IF(คะแนนเก็บ!R50="","",คะแนนเก็บ!R50)</f>
        <v/>
      </c>
      <c r="Q47" t="str">
        <f>IF(คะแนนเก็บ!S50="","",คะแนนเก็บ!S50)</f>
        <v/>
      </c>
      <c r="R47" t="str">
        <f>IF(คะแนนเก็บ!T50="","",คะแนนเก็บ!T50)</f>
        <v/>
      </c>
      <c r="S47" t="str">
        <f>IF(คะแนนเก็บ!U50="","",คะแนนเก็บ!U50)</f>
        <v/>
      </c>
      <c r="T47" t="str">
        <f>IF(คะแนนเก็บ!V50="","",คะแนนเก็บ!V50)</f>
        <v/>
      </c>
      <c r="U47" t="str">
        <f>IF(คะแนนเก็บ!W50="","",คะแนนเก็บ!W50)</f>
        <v/>
      </c>
      <c r="V47" t="str">
        <f>IF(คะแนนเก็บหลังกลางภาค!D50="","",คะแนนเก็บหลังกลางภาค!D50)</f>
        <v/>
      </c>
      <c r="W47" t="str">
        <f>IF(คะแนนเก็บหลังกลางภาค!E50="","",คะแนนเก็บหลังกลางภาค!E50)</f>
        <v/>
      </c>
      <c r="X47" t="str">
        <f>IF(คะแนนเก็บหลังกลางภาค!F50="","",คะแนนเก็บหลังกลางภาค!F50)</f>
        <v/>
      </c>
      <c r="Y47" t="str">
        <f>IF(คะแนนเก็บหลังกลางภาค!G50="","",คะแนนเก็บหลังกลางภาค!G50)</f>
        <v/>
      </c>
      <c r="Z47" t="str">
        <f>IF(คะแนนเก็บหลังกลางภาค!H50="","",คะแนนเก็บหลังกลางภาค!H50)</f>
        <v/>
      </c>
      <c r="AA47" t="str">
        <f>IF(คะแนนเก็บหลังกลางภาค!I50="","",คะแนนเก็บหลังกลางภาค!I50)</f>
        <v/>
      </c>
      <c r="AB47" t="str">
        <f>IF(คะแนนเก็บหลังกลางภาค!J50="","",คะแนนเก็บหลังกลางภาค!J50)</f>
        <v/>
      </c>
      <c r="AC47" t="str">
        <f>IF(คะแนนเก็บหลังกลางภาค!K50="","",คะแนนเก็บหลังกลางภาค!K50)</f>
        <v/>
      </c>
      <c r="AD47" t="str">
        <f>IF(คะแนนเก็บหลังกลางภาค!L50="","",คะแนนเก็บหลังกลางภาค!L50)</f>
        <v/>
      </c>
      <c r="AE47" t="str">
        <f>IF(คะแนนเก็บหลังกลางภาค!M50="","",คะแนนเก็บหลังกลางภาค!M50)</f>
        <v/>
      </c>
      <c r="AF47" t="str">
        <f>IF(คะแนนเก็บหลังกลางภาค!N50="","",คะแนนเก็บหลังกลางภาค!N50)</f>
        <v/>
      </c>
      <c r="AG47" t="str">
        <f>IF(คะแนนเก็บหลังกลางภาค!O50="","",คะแนนเก็บหลังกลางภาค!O50)</f>
        <v/>
      </c>
      <c r="AH47" t="str">
        <f>IF(คะแนนเก็บหลังกลางภาค!P50="","",คะแนนเก็บหลังกลางภาค!P50)</f>
        <v/>
      </c>
      <c r="AI47" t="str">
        <f>IF(คะแนนเก็บหลังกลางภาค!Q50="","",คะแนนเก็บหลังกลางภาค!Q50)</f>
        <v/>
      </c>
      <c r="AJ47" t="str">
        <f>IF(คะแนนเก็บหลังกลางภาค!R50="","",คะแนนเก็บหลังกลางภาค!R50)</f>
        <v/>
      </c>
      <c r="AK47" t="str">
        <f>IF(คะแนนเก็บหลังกลางภาค!S50="","",คะแนนเก็บหลังกลางภาค!S50)</f>
        <v/>
      </c>
      <c r="AL47" t="str">
        <f>IF(คะแนนเก็บหลังกลางภาค!T50="","",คะแนนเก็บหลังกลางภาค!T50)</f>
        <v/>
      </c>
      <c r="AM47" t="str">
        <f>IF(คะแนนเก็บหลังกลางภาค!U50="","",คะแนนเก็บหลังกลางภาค!U50)</f>
        <v/>
      </c>
      <c r="AN47" t="str">
        <f>IF(คะแนนเก็บหลังกลางภาค!V50="","",คะแนนเก็บหลังกลางภาค!V50)</f>
        <v/>
      </c>
      <c r="AO47" t="str">
        <f>IF(คะแนนเก็บหลังกลางภาค!W50="","",คะแนนเก็บหลังกลางภาค!W50)</f>
        <v/>
      </c>
      <c r="AP47" t="str">
        <f>IF(คุณลักษณะอันพึงประสงค์!D50="","",คุณลักษณะอันพึงประสงค์!D50)</f>
        <v/>
      </c>
      <c r="AQ47" t="str">
        <f>IF(คุณลักษณะอันพึงประสงค์!E50="","",คุณลักษณะอันพึงประสงค์!E50)</f>
        <v/>
      </c>
      <c r="AR47" t="str">
        <f>IF(คุณลักษณะอันพึงประสงค์!F50="","",คุณลักษณะอันพึงประสงค์!F50)</f>
        <v/>
      </c>
      <c r="AS47" t="str">
        <f>IF(คุณลักษณะอันพึงประสงค์!G50="","",คุณลักษณะอันพึงประสงค์!G50)</f>
        <v/>
      </c>
      <c r="AT47" t="str">
        <f>IF(คุณลักษณะอันพึงประสงค์!H50="","",คุณลักษณะอันพึงประสงค์!H50)</f>
        <v/>
      </c>
      <c r="AU47" t="str">
        <f>IF(คุณลักษณะอันพึงประสงค์!I50="","",คุณลักษณะอันพึงประสงค์!I50)</f>
        <v/>
      </c>
      <c r="AV47" t="str">
        <f>IF(คุณลักษณะอันพึงประสงค์!J50="","",คุณลักษณะอันพึงประสงค์!J50)</f>
        <v/>
      </c>
      <c r="AW47" t="str">
        <f>IF(คุณลักษณะอันพึงประสงค์!K50="","",คุณลักษณะอันพึงประสงค์!K50)</f>
        <v/>
      </c>
      <c r="AX47" t="str">
        <f>IF(คุณลักษณะอันพึงประสงค์!L50="","",คุณลักษณะอันพึงประสงค์!L50)</f>
        <v/>
      </c>
      <c r="AY47" t="str">
        <f>IF(คุณลักษณะอันพึงประสงค์!M50="","",คุณลักษณะอันพึงประสงค์!M50)</f>
        <v/>
      </c>
      <c r="AZ47" t="str">
        <f>IF(กลางภาค!D50="","",กลางภาค!D50)</f>
        <v/>
      </c>
      <c r="BA47" t="str">
        <f>IF(กลางภาค!E50="","",กลางภาค!E50)</f>
        <v/>
      </c>
      <c r="BB47" t="str">
        <f>IF(กลางภาค!F50="","",กลางภาค!F50)</f>
        <v/>
      </c>
      <c r="BC47" t="str">
        <f>IF(กลางภาค!G50="","",กลางภาค!G50)</f>
        <v/>
      </c>
      <c r="BD47" t="str">
        <f>IF(กลางภาค!H50="","",กลางภาค!H50)</f>
        <v/>
      </c>
      <c r="BE47" t="str">
        <f>IF(กลางภาค!I50="","",กลางภาค!I50)</f>
        <v/>
      </c>
      <c r="BF47" t="str">
        <f>IF(กลางภาค!J50="","",กลางภาค!J50)</f>
        <v/>
      </c>
      <c r="BG47" t="str">
        <f>IF(กลางภาค!K50="","",กลางภาค!K50)</f>
        <v/>
      </c>
      <c r="BH47" t="str">
        <f>IF(กลางภาค!L50="","",กลางภาค!L50)</f>
        <v/>
      </c>
      <c r="BI47" t="str">
        <f>IF(กลางภาค!M50="","",กลางภาค!M50)</f>
        <v/>
      </c>
      <c r="BJ47" t="str">
        <f>IF(ปลายภาค!D50="","",ปลายภาค!D50)</f>
        <v/>
      </c>
      <c r="BK47" t="str">
        <f>IF(ปลายภาค!E50="","",ปลายภาค!E50)</f>
        <v/>
      </c>
      <c r="BL47" t="str">
        <f>IF(ปลายภาค!F50="","",ปลายภาค!F50)</f>
        <v/>
      </c>
      <c r="BM47" t="str">
        <f>IF(ปลายภาค!G50="","",ปลายภาค!G50)</f>
        <v/>
      </c>
      <c r="BN47" t="str">
        <f>IF(ปลายภาค!H50="","",ปลายภาค!H50)</f>
        <v/>
      </c>
      <c r="BO47" t="str">
        <f>IF(ปลายภาค!I50="","",ปลายภาค!I50)</f>
        <v/>
      </c>
      <c r="BP47" t="str">
        <f>IF(ปลายภาค!J50="","",ปลายภาค!J50)</f>
        <v/>
      </c>
      <c r="BQ47" t="str">
        <f>IF(ปลายภาค!K50="","",ปลายภาค!K50)</f>
        <v/>
      </c>
      <c r="BR47" t="str">
        <f>IF(ปลายภาค!L50="","",ปลายภาค!L50)</f>
        <v/>
      </c>
      <c r="BS47" t="str">
        <f>IF(ปลายภาค!M50="","",ปลายภาค!M50)</f>
        <v/>
      </c>
      <c r="BT47" t="str">
        <f>IF(กลางภาค!N50="","",กลางภาค!N50)</f>
        <v/>
      </c>
      <c r="BU47" t="str">
        <f>IF(ปลายภาค!N50="","",ปลายภาค!N50)</f>
        <v/>
      </c>
      <c r="BV47" t="str">
        <f>IF(คุณลักษณะอันพึงประสงค์!X50="","",คุณลักษณะอันพึงประสงค์!X50)</f>
        <v/>
      </c>
      <c r="BW47" t="str">
        <f>IF(อ่านคิดวิเคราะห์!I50="","",อ่านคิดวิเคราะห์!I50)</f>
        <v/>
      </c>
      <c r="BX47" t="str">
        <f>IF(สมรรถนะ!N50="","",สมรรถนะ!N50)</f>
        <v/>
      </c>
      <c r="BY47" t="str">
        <f>IF(อ่านคิดวิเคราะห์!D50="","",อ่านคิดวิเคราะห์!D50)</f>
        <v/>
      </c>
      <c r="BZ47" t="str">
        <f>IF(อ่านคิดวิเคราะห์!E50="","",อ่านคิดวิเคราะห์!E50)</f>
        <v/>
      </c>
      <c r="CA47" t="str">
        <f>IF(อ่านคิดวิเคราะห์!F50="","",อ่านคิดวิเคราะห์!F50)</f>
        <v/>
      </c>
      <c r="CB47" t="str">
        <f>IF(อ่านคิดวิเคราะห์!G50="","",อ่านคิดวิเคราะห์!G50)</f>
        <v/>
      </c>
      <c r="CC47" t="str">
        <f>IF(อ่านคิดวิเคราะห์!H50="","",อ่านคิดวิเคราะห์!H50)</f>
        <v/>
      </c>
      <c r="CD47" t="str">
        <f>IF(สมรรถนะ!D50="","",สมรรถนะ!D50)</f>
        <v/>
      </c>
      <c r="CE47" t="str">
        <f>IF(สมรรถนะ!E50="","",สมรรถนะ!E50)</f>
        <v/>
      </c>
      <c r="CF47" t="str">
        <f>IF(สมรรถนะ!F50="","",สมรรถนะ!F50)</f>
        <v/>
      </c>
      <c r="CG47" t="str">
        <f>IF(สมรรถนะ!G50="","",สมรรถนะ!G50)</f>
        <v/>
      </c>
      <c r="CH47" t="str">
        <f>IF(สมรรถนะ!H50="","",สมรรถนะ!H50)</f>
        <v/>
      </c>
      <c r="CI47" t="str">
        <f>IF(สมรรถนะ!I50="","",สมรรถนะ!I50)</f>
        <v/>
      </c>
      <c r="CJ47" t="str">
        <f>IF(สมรรถนะ!J50="","",สมรรถนะ!J50)</f>
        <v/>
      </c>
      <c r="CK47" t="str">
        <f>IF(สมรรถนะ!K50="","",สมรรถนะ!K50)</f>
        <v/>
      </c>
      <c r="CL47" t="str">
        <f>IF(สมรรถนะ!L50="","",สมรรถนะ!L50)</f>
        <v/>
      </c>
      <c r="CM47" t="str">
        <f>IF(สมรรถนะ!M50="","",สมรรถนะ!M50)</f>
        <v/>
      </c>
      <c r="CN47" t="str">
        <f>IF(คุณลักษณะอันพึงประสงค์!N50="","",คุณลักษณะอันพึงประสงค์!N50)</f>
        <v/>
      </c>
      <c r="CO47" t="str">
        <f>IF(คุณลักษณะอันพึงประสงค์!O50="","",คุณลักษณะอันพึงประสงค์!O50)</f>
        <v/>
      </c>
      <c r="CP47" t="str">
        <f>IF(คุณลักษณะอันพึงประสงค์!P50="","",คุณลักษณะอันพึงประสงค์!P50)</f>
        <v/>
      </c>
      <c r="CQ47" t="str">
        <f>IF(คุณลักษณะอันพึงประสงค์!Q50="","",คุณลักษณะอันพึงประสงค์!Q50)</f>
        <v/>
      </c>
      <c r="CR47" t="str">
        <f>IF(คุณลักษณะอันพึงประสงค์!R50="","",คุณลักษณะอันพึงประสงค์!R50)</f>
        <v/>
      </c>
      <c r="CS47" t="str">
        <f>IF(คุณลักษณะอันพึงประสงค์!S50="","",คุณลักษณะอันพึงประสงค์!S50)</f>
        <v/>
      </c>
      <c r="CT47" t="str">
        <f>IF(คุณลักษณะอันพึงประสงค์!T50="","",คุณลักษณะอันพึงประสงค์!T50)</f>
        <v/>
      </c>
      <c r="CU47" t="str">
        <f>IF(คุณลักษณะอันพึงประสงค์!U50="","",คุณลักษณะอันพึงประสงค์!U50)</f>
        <v/>
      </c>
      <c r="CV47" t="str">
        <f>IF(คุณลักษณะอันพึงประสงค์!V50="","",คุณลักษณะอันพึงประสงค์!V50)</f>
        <v/>
      </c>
      <c r="CW47" t="str">
        <f>IF(คุณลักษณะอันพึงประสงค์!W50="","",คุณลักษณะอันพึงประสงค์!W50)</f>
        <v/>
      </c>
    </row>
    <row r="48" spans="1:101">
      <c r="A48" t="str">
        <f>IF(คะแนนเก็บ!B51="","",คะแนนเก็บ!B51)</f>
        <v/>
      </c>
      <c r="B48" t="str">
        <f>IF(คะแนนเก็บ!D51="","",คะแนนเก็บ!D51)</f>
        <v/>
      </c>
      <c r="C48" t="str">
        <f>IF(คะแนนเก็บ!E51="","",คะแนนเก็บ!E51)</f>
        <v/>
      </c>
      <c r="D48" t="str">
        <f>IF(คะแนนเก็บ!F51="","",คะแนนเก็บ!F51)</f>
        <v/>
      </c>
      <c r="E48" t="str">
        <f>IF(คะแนนเก็บ!G51="","",คะแนนเก็บ!G51)</f>
        <v/>
      </c>
      <c r="F48" t="str">
        <f>IF(คะแนนเก็บ!H51="","",คะแนนเก็บ!H51)</f>
        <v/>
      </c>
      <c r="G48" t="str">
        <f>IF(คะแนนเก็บ!I51="","",คะแนนเก็บ!I51)</f>
        <v/>
      </c>
      <c r="H48" t="str">
        <f>IF(คะแนนเก็บ!J51="","",คะแนนเก็บ!J51)</f>
        <v/>
      </c>
      <c r="I48" t="str">
        <f>IF(คะแนนเก็บ!K51="","",คะแนนเก็บ!K51)</f>
        <v/>
      </c>
      <c r="J48" t="str">
        <f>IF(คะแนนเก็บ!L51="","",คะแนนเก็บ!L51)</f>
        <v/>
      </c>
      <c r="K48" t="str">
        <f>IF(คะแนนเก็บ!M51="","",คะแนนเก็บ!M51)</f>
        <v/>
      </c>
      <c r="L48" t="str">
        <f>IF(คะแนนเก็บ!N51="","",คะแนนเก็บ!N51)</f>
        <v/>
      </c>
      <c r="M48" t="str">
        <f>IF(คะแนนเก็บ!O51="","",คะแนนเก็บ!O51)</f>
        <v/>
      </c>
      <c r="N48" t="str">
        <f>IF(คะแนนเก็บ!P51="","",คะแนนเก็บ!P51)</f>
        <v/>
      </c>
      <c r="O48" t="str">
        <f>IF(คะแนนเก็บ!Q51="","",คะแนนเก็บ!Q51)</f>
        <v/>
      </c>
      <c r="P48" t="str">
        <f>IF(คะแนนเก็บ!R51="","",คะแนนเก็บ!R51)</f>
        <v/>
      </c>
      <c r="Q48" t="str">
        <f>IF(คะแนนเก็บ!S51="","",คะแนนเก็บ!S51)</f>
        <v/>
      </c>
      <c r="R48" t="str">
        <f>IF(คะแนนเก็บ!T51="","",คะแนนเก็บ!T51)</f>
        <v/>
      </c>
      <c r="S48" t="str">
        <f>IF(คะแนนเก็บ!U51="","",คะแนนเก็บ!U51)</f>
        <v/>
      </c>
      <c r="T48" t="str">
        <f>IF(คะแนนเก็บ!V51="","",คะแนนเก็บ!V51)</f>
        <v/>
      </c>
      <c r="U48" t="str">
        <f>IF(คะแนนเก็บ!W51="","",คะแนนเก็บ!W51)</f>
        <v/>
      </c>
      <c r="V48" t="str">
        <f>IF(คะแนนเก็บหลังกลางภาค!D51="","",คะแนนเก็บหลังกลางภาค!D51)</f>
        <v/>
      </c>
      <c r="W48" t="str">
        <f>IF(คะแนนเก็บหลังกลางภาค!E51="","",คะแนนเก็บหลังกลางภาค!E51)</f>
        <v/>
      </c>
      <c r="X48" t="str">
        <f>IF(คะแนนเก็บหลังกลางภาค!F51="","",คะแนนเก็บหลังกลางภาค!F51)</f>
        <v/>
      </c>
      <c r="Y48" t="str">
        <f>IF(คะแนนเก็บหลังกลางภาค!G51="","",คะแนนเก็บหลังกลางภาค!G51)</f>
        <v/>
      </c>
      <c r="Z48" t="str">
        <f>IF(คะแนนเก็บหลังกลางภาค!H51="","",คะแนนเก็บหลังกลางภาค!H51)</f>
        <v/>
      </c>
      <c r="AA48" t="str">
        <f>IF(คะแนนเก็บหลังกลางภาค!I51="","",คะแนนเก็บหลังกลางภาค!I51)</f>
        <v/>
      </c>
      <c r="AB48" t="str">
        <f>IF(คะแนนเก็บหลังกลางภาค!J51="","",คะแนนเก็บหลังกลางภาค!J51)</f>
        <v/>
      </c>
      <c r="AC48" t="str">
        <f>IF(คะแนนเก็บหลังกลางภาค!K51="","",คะแนนเก็บหลังกลางภาค!K51)</f>
        <v/>
      </c>
      <c r="AD48" t="str">
        <f>IF(คะแนนเก็บหลังกลางภาค!L51="","",คะแนนเก็บหลังกลางภาค!L51)</f>
        <v/>
      </c>
      <c r="AE48" t="str">
        <f>IF(คะแนนเก็บหลังกลางภาค!M51="","",คะแนนเก็บหลังกลางภาค!M51)</f>
        <v/>
      </c>
      <c r="AF48" t="str">
        <f>IF(คะแนนเก็บหลังกลางภาค!N51="","",คะแนนเก็บหลังกลางภาค!N51)</f>
        <v/>
      </c>
      <c r="AG48" t="str">
        <f>IF(คะแนนเก็บหลังกลางภาค!O51="","",คะแนนเก็บหลังกลางภาค!O51)</f>
        <v/>
      </c>
      <c r="AH48" t="str">
        <f>IF(คะแนนเก็บหลังกลางภาค!P51="","",คะแนนเก็บหลังกลางภาค!P51)</f>
        <v/>
      </c>
      <c r="AI48" t="str">
        <f>IF(คะแนนเก็บหลังกลางภาค!Q51="","",คะแนนเก็บหลังกลางภาค!Q51)</f>
        <v/>
      </c>
      <c r="AJ48" t="str">
        <f>IF(คะแนนเก็บหลังกลางภาค!R51="","",คะแนนเก็บหลังกลางภาค!R51)</f>
        <v/>
      </c>
      <c r="AK48" t="str">
        <f>IF(คะแนนเก็บหลังกลางภาค!S51="","",คะแนนเก็บหลังกลางภาค!S51)</f>
        <v/>
      </c>
      <c r="AL48" t="str">
        <f>IF(คะแนนเก็บหลังกลางภาค!T51="","",คะแนนเก็บหลังกลางภาค!T51)</f>
        <v/>
      </c>
      <c r="AM48" t="str">
        <f>IF(คะแนนเก็บหลังกลางภาค!U51="","",คะแนนเก็บหลังกลางภาค!U51)</f>
        <v/>
      </c>
      <c r="AN48" t="str">
        <f>IF(คะแนนเก็บหลังกลางภาค!V51="","",คะแนนเก็บหลังกลางภาค!V51)</f>
        <v/>
      </c>
      <c r="AO48" t="str">
        <f>IF(คะแนนเก็บหลังกลางภาค!W51="","",คะแนนเก็บหลังกลางภาค!W51)</f>
        <v/>
      </c>
      <c r="AP48" t="str">
        <f>IF(คุณลักษณะอันพึงประสงค์!D51="","",คุณลักษณะอันพึงประสงค์!D51)</f>
        <v/>
      </c>
      <c r="AQ48" t="str">
        <f>IF(คุณลักษณะอันพึงประสงค์!E51="","",คุณลักษณะอันพึงประสงค์!E51)</f>
        <v/>
      </c>
      <c r="AR48" t="str">
        <f>IF(คุณลักษณะอันพึงประสงค์!F51="","",คุณลักษณะอันพึงประสงค์!F51)</f>
        <v/>
      </c>
      <c r="AS48" t="str">
        <f>IF(คุณลักษณะอันพึงประสงค์!G51="","",คุณลักษณะอันพึงประสงค์!G51)</f>
        <v/>
      </c>
      <c r="AT48" t="str">
        <f>IF(คุณลักษณะอันพึงประสงค์!H51="","",คุณลักษณะอันพึงประสงค์!H51)</f>
        <v/>
      </c>
      <c r="AU48" t="str">
        <f>IF(คุณลักษณะอันพึงประสงค์!I51="","",คุณลักษณะอันพึงประสงค์!I51)</f>
        <v/>
      </c>
      <c r="AV48" t="str">
        <f>IF(คุณลักษณะอันพึงประสงค์!J51="","",คุณลักษณะอันพึงประสงค์!J51)</f>
        <v/>
      </c>
      <c r="AW48" t="str">
        <f>IF(คุณลักษณะอันพึงประสงค์!K51="","",คุณลักษณะอันพึงประสงค์!K51)</f>
        <v/>
      </c>
      <c r="AX48" t="str">
        <f>IF(คุณลักษณะอันพึงประสงค์!L51="","",คุณลักษณะอันพึงประสงค์!L51)</f>
        <v/>
      </c>
      <c r="AY48" t="str">
        <f>IF(คุณลักษณะอันพึงประสงค์!M51="","",คุณลักษณะอันพึงประสงค์!M51)</f>
        <v/>
      </c>
      <c r="AZ48" t="str">
        <f>IF(กลางภาค!D51="","",กลางภาค!D51)</f>
        <v/>
      </c>
      <c r="BA48" t="str">
        <f>IF(กลางภาค!E51="","",กลางภาค!E51)</f>
        <v/>
      </c>
      <c r="BB48" t="str">
        <f>IF(กลางภาค!F51="","",กลางภาค!F51)</f>
        <v/>
      </c>
      <c r="BC48" t="str">
        <f>IF(กลางภาค!G51="","",กลางภาค!G51)</f>
        <v/>
      </c>
      <c r="BD48" t="str">
        <f>IF(กลางภาค!H51="","",กลางภาค!H51)</f>
        <v/>
      </c>
      <c r="BE48" t="str">
        <f>IF(กลางภาค!I51="","",กลางภาค!I51)</f>
        <v/>
      </c>
      <c r="BF48" t="str">
        <f>IF(กลางภาค!J51="","",กลางภาค!J51)</f>
        <v/>
      </c>
      <c r="BG48" t="str">
        <f>IF(กลางภาค!K51="","",กลางภาค!K51)</f>
        <v/>
      </c>
      <c r="BH48" t="str">
        <f>IF(กลางภาค!L51="","",กลางภาค!L51)</f>
        <v/>
      </c>
      <c r="BI48" t="str">
        <f>IF(กลางภาค!M51="","",กลางภาค!M51)</f>
        <v/>
      </c>
      <c r="BJ48" t="str">
        <f>IF(ปลายภาค!D51="","",ปลายภาค!D51)</f>
        <v/>
      </c>
      <c r="BK48" t="str">
        <f>IF(ปลายภาค!E51="","",ปลายภาค!E51)</f>
        <v/>
      </c>
      <c r="BL48" t="str">
        <f>IF(ปลายภาค!F51="","",ปลายภาค!F51)</f>
        <v/>
      </c>
      <c r="BM48" t="str">
        <f>IF(ปลายภาค!G51="","",ปลายภาค!G51)</f>
        <v/>
      </c>
      <c r="BN48" t="str">
        <f>IF(ปลายภาค!H51="","",ปลายภาค!H51)</f>
        <v/>
      </c>
      <c r="BO48" t="str">
        <f>IF(ปลายภาค!I51="","",ปลายภาค!I51)</f>
        <v/>
      </c>
      <c r="BP48" t="str">
        <f>IF(ปลายภาค!J51="","",ปลายภาค!J51)</f>
        <v/>
      </c>
      <c r="BQ48" t="str">
        <f>IF(ปลายภาค!K51="","",ปลายภาค!K51)</f>
        <v/>
      </c>
      <c r="BR48" t="str">
        <f>IF(ปลายภาค!L51="","",ปลายภาค!L51)</f>
        <v/>
      </c>
      <c r="BS48" t="str">
        <f>IF(ปลายภาค!M51="","",ปลายภาค!M51)</f>
        <v/>
      </c>
      <c r="BT48" t="str">
        <f>IF(กลางภาค!N51="","",กลางภาค!N51)</f>
        <v/>
      </c>
      <c r="BU48" t="str">
        <f>IF(ปลายภาค!N51="","",ปลายภาค!N51)</f>
        <v/>
      </c>
      <c r="BV48" t="str">
        <f>IF(คุณลักษณะอันพึงประสงค์!X51="","",คุณลักษณะอันพึงประสงค์!X51)</f>
        <v/>
      </c>
      <c r="BW48" t="str">
        <f>IF(อ่านคิดวิเคราะห์!I51="","",อ่านคิดวิเคราะห์!I51)</f>
        <v/>
      </c>
      <c r="BX48" t="str">
        <f>IF(สมรรถนะ!N51="","",สมรรถนะ!N51)</f>
        <v/>
      </c>
      <c r="BY48" t="str">
        <f>IF(อ่านคิดวิเคราะห์!D51="","",อ่านคิดวิเคราะห์!D51)</f>
        <v/>
      </c>
      <c r="BZ48" t="str">
        <f>IF(อ่านคิดวิเคราะห์!E51="","",อ่านคิดวิเคราะห์!E51)</f>
        <v/>
      </c>
      <c r="CA48" t="str">
        <f>IF(อ่านคิดวิเคราะห์!F51="","",อ่านคิดวิเคราะห์!F51)</f>
        <v/>
      </c>
      <c r="CB48" t="str">
        <f>IF(อ่านคิดวิเคราะห์!G51="","",อ่านคิดวิเคราะห์!G51)</f>
        <v/>
      </c>
      <c r="CC48" t="str">
        <f>IF(อ่านคิดวิเคราะห์!H51="","",อ่านคิดวิเคราะห์!H51)</f>
        <v/>
      </c>
      <c r="CD48" t="str">
        <f>IF(สมรรถนะ!D51="","",สมรรถนะ!D51)</f>
        <v/>
      </c>
      <c r="CE48" t="str">
        <f>IF(สมรรถนะ!E51="","",สมรรถนะ!E51)</f>
        <v/>
      </c>
      <c r="CF48" t="str">
        <f>IF(สมรรถนะ!F51="","",สมรรถนะ!F51)</f>
        <v/>
      </c>
      <c r="CG48" t="str">
        <f>IF(สมรรถนะ!G51="","",สมรรถนะ!G51)</f>
        <v/>
      </c>
      <c r="CH48" t="str">
        <f>IF(สมรรถนะ!H51="","",สมรรถนะ!H51)</f>
        <v/>
      </c>
      <c r="CI48" t="str">
        <f>IF(สมรรถนะ!I51="","",สมรรถนะ!I51)</f>
        <v/>
      </c>
      <c r="CJ48" t="str">
        <f>IF(สมรรถนะ!J51="","",สมรรถนะ!J51)</f>
        <v/>
      </c>
      <c r="CK48" t="str">
        <f>IF(สมรรถนะ!K51="","",สมรรถนะ!K51)</f>
        <v/>
      </c>
      <c r="CL48" t="str">
        <f>IF(สมรรถนะ!L51="","",สมรรถนะ!L51)</f>
        <v/>
      </c>
      <c r="CM48" t="str">
        <f>IF(สมรรถนะ!M51="","",สมรรถนะ!M51)</f>
        <v/>
      </c>
      <c r="CN48" t="str">
        <f>IF(คุณลักษณะอันพึงประสงค์!N51="","",คุณลักษณะอันพึงประสงค์!N51)</f>
        <v/>
      </c>
      <c r="CO48" t="str">
        <f>IF(คุณลักษณะอันพึงประสงค์!O51="","",คุณลักษณะอันพึงประสงค์!O51)</f>
        <v/>
      </c>
      <c r="CP48" t="str">
        <f>IF(คุณลักษณะอันพึงประสงค์!P51="","",คุณลักษณะอันพึงประสงค์!P51)</f>
        <v/>
      </c>
      <c r="CQ48" t="str">
        <f>IF(คุณลักษณะอันพึงประสงค์!Q51="","",คุณลักษณะอันพึงประสงค์!Q51)</f>
        <v/>
      </c>
      <c r="CR48" t="str">
        <f>IF(คุณลักษณะอันพึงประสงค์!R51="","",คุณลักษณะอันพึงประสงค์!R51)</f>
        <v/>
      </c>
      <c r="CS48" t="str">
        <f>IF(คุณลักษณะอันพึงประสงค์!S51="","",คุณลักษณะอันพึงประสงค์!S51)</f>
        <v/>
      </c>
      <c r="CT48" t="str">
        <f>IF(คุณลักษณะอันพึงประสงค์!T51="","",คุณลักษณะอันพึงประสงค์!T51)</f>
        <v/>
      </c>
      <c r="CU48" t="str">
        <f>IF(คุณลักษณะอันพึงประสงค์!U51="","",คุณลักษณะอันพึงประสงค์!U51)</f>
        <v/>
      </c>
      <c r="CV48" t="str">
        <f>IF(คุณลักษณะอันพึงประสงค์!V51="","",คุณลักษณะอันพึงประสงค์!V51)</f>
        <v/>
      </c>
      <c r="CW48" t="str">
        <f>IF(คุณลักษณะอันพึงประสงค์!W51="","",คุณลักษณะอันพึงประสงค์!W51)</f>
        <v/>
      </c>
    </row>
    <row r="49" spans="1:101">
      <c r="A49" t="str">
        <f>IF(คะแนนเก็บ!B52="","",คะแนนเก็บ!B52)</f>
        <v/>
      </c>
      <c r="B49" t="str">
        <f>IF(คะแนนเก็บ!D52="","",คะแนนเก็บ!D52)</f>
        <v/>
      </c>
      <c r="C49" t="str">
        <f>IF(คะแนนเก็บ!E52="","",คะแนนเก็บ!E52)</f>
        <v/>
      </c>
      <c r="D49" t="str">
        <f>IF(คะแนนเก็บ!F52="","",คะแนนเก็บ!F52)</f>
        <v/>
      </c>
      <c r="E49" t="str">
        <f>IF(คะแนนเก็บ!G52="","",คะแนนเก็บ!G52)</f>
        <v/>
      </c>
      <c r="F49" t="str">
        <f>IF(คะแนนเก็บ!H52="","",คะแนนเก็บ!H52)</f>
        <v/>
      </c>
      <c r="G49" t="str">
        <f>IF(คะแนนเก็บ!I52="","",คะแนนเก็บ!I52)</f>
        <v/>
      </c>
      <c r="H49" t="str">
        <f>IF(คะแนนเก็บ!J52="","",คะแนนเก็บ!J52)</f>
        <v/>
      </c>
      <c r="I49" t="str">
        <f>IF(คะแนนเก็บ!K52="","",คะแนนเก็บ!K52)</f>
        <v/>
      </c>
      <c r="J49" t="str">
        <f>IF(คะแนนเก็บ!L52="","",คะแนนเก็บ!L52)</f>
        <v/>
      </c>
      <c r="K49" t="str">
        <f>IF(คะแนนเก็บ!M52="","",คะแนนเก็บ!M52)</f>
        <v/>
      </c>
      <c r="L49" t="str">
        <f>IF(คะแนนเก็บ!N52="","",คะแนนเก็บ!N52)</f>
        <v/>
      </c>
      <c r="M49" t="str">
        <f>IF(คะแนนเก็บ!O52="","",คะแนนเก็บ!O52)</f>
        <v/>
      </c>
      <c r="N49" t="str">
        <f>IF(คะแนนเก็บ!P52="","",คะแนนเก็บ!P52)</f>
        <v/>
      </c>
      <c r="O49" t="str">
        <f>IF(คะแนนเก็บ!Q52="","",คะแนนเก็บ!Q52)</f>
        <v/>
      </c>
      <c r="P49" t="str">
        <f>IF(คะแนนเก็บ!R52="","",คะแนนเก็บ!R52)</f>
        <v/>
      </c>
      <c r="Q49" t="str">
        <f>IF(คะแนนเก็บ!S52="","",คะแนนเก็บ!S52)</f>
        <v/>
      </c>
      <c r="R49" t="str">
        <f>IF(คะแนนเก็บ!T52="","",คะแนนเก็บ!T52)</f>
        <v/>
      </c>
      <c r="S49" t="str">
        <f>IF(คะแนนเก็บ!U52="","",คะแนนเก็บ!U52)</f>
        <v/>
      </c>
      <c r="T49" t="str">
        <f>IF(คะแนนเก็บ!V52="","",คะแนนเก็บ!V52)</f>
        <v/>
      </c>
      <c r="U49" t="str">
        <f>IF(คะแนนเก็บ!W52="","",คะแนนเก็บ!W52)</f>
        <v/>
      </c>
      <c r="V49" t="str">
        <f>IF(คะแนนเก็บหลังกลางภาค!D52="","",คะแนนเก็บหลังกลางภาค!D52)</f>
        <v/>
      </c>
      <c r="W49" t="str">
        <f>IF(คะแนนเก็บหลังกลางภาค!E52="","",คะแนนเก็บหลังกลางภาค!E52)</f>
        <v/>
      </c>
      <c r="X49" t="str">
        <f>IF(คะแนนเก็บหลังกลางภาค!F52="","",คะแนนเก็บหลังกลางภาค!F52)</f>
        <v/>
      </c>
      <c r="Y49" t="str">
        <f>IF(คะแนนเก็บหลังกลางภาค!G52="","",คะแนนเก็บหลังกลางภาค!G52)</f>
        <v/>
      </c>
      <c r="Z49" t="str">
        <f>IF(คะแนนเก็บหลังกลางภาค!H52="","",คะแนนเก็บหลังกลางภาค!H52)</f>
        <v/>
      </c>
      <c r="AA49" t="str">
        <f>IF(คะแนนเก็บหลังกลางภาค!I52="","",คะแนนเก็บหลังกลางภาค!I52)</f>
        <v/>
      </c>
      <c r="AB49" t="str">
        <f>IF(คะแนนเก็บหลังกลางภาค!J52="","",คะแนนเก็บหลังกลางภาค!J52)</f>
        <v/>
      </c>
      <c r="AC49" t="str">
        <f>IF(คะแนนเก็บหลังกลางภาค!K52="","",คะแนนเก็บหลังกลางภาค!K52)</f>
        <v/>
      </c>
      <c r="AD49" t="str">
        <f>IF(คะแนนเก็บหลังกลางภาค!L52="","",คะแนนเก็บหลังกลางภาค!L52)</f>
        <v/>
      </c>
      <c r="AE49" t="str">
        <f>IF(คะแนนเก็บหลังกลางภาค!M52="","",คะแนนเก็บหลังกลางภาค!M52)</f>
        <v/>
      </c>
      <c r="AF49" t="str">
        <f>IF(คะแนนเก็บหลังกลางภาค!N52="","",คะแนนเก็บหลังกลางภาค!N52)</f>
        <v/>
      </c>
      <c r="AG49" t="str">
        <f>IF(คะแนนเก็บหลังกลางภาค!O52="","",คะแนนเก็บหลังกลางภาค!O52)</f>
        <v/>
      </c>
      <c r="AH49" t="str">
        <f>IF(คะแนนเก็บหลังกลางภาค!P52="","",คะแนนเก็บหลังกลางภาค!P52)</f>
        <v/>
      </c>
      <c r="AI49" t="str">
        <f>IF(คะแนนเก็บหลังกลางภาค!Q52="","",คะแนนเก็บหลังกลางภาค!Q52)</f>
        <v/>
      </c>
      <c r="AJ49" t="str">
        <f>IF(คะแนนเก็บหลังกลางภาค!R52="","",คะแนนเก็บหลังกลางภาค!R52)</f>
        <v/>
      </c>
      <c r="AK49" t="str">
        <f>IF(คะแนนเก็บหลังกลางภาค!S52="","",คะแนนเก็บหลังกลางภาค!S52)</f>
        <v/>
      </c>
      <c r="AL49" t="str">
        <f>IF(คะแนนเก็บหลังกลางภาค!T52="","",คะแนนเก็บหลังกลางภาค!T52)</f>
        <v/>
      </c>
      <c r="AM49" t="str">
        <f>IF(คะแนนเก็บหลังกลางภาค!U52="","",คะแนนเก็บหลังกลางภาค!U52)</f>
        <v/>
      </c>
      <c r="AN49" t="str">
        <f>IF(คะแนนเก็บหลังกลางภาค!V52="","",คะแนนเก็บหลังกลางภาค!V52)</f>
        <v/>
      </c>
      <c r="AO49" t="str">
        <f>IF(คะแนนเก็บหลังกลางภาค!W52="","",คะแนนเก็บหลังกลางภาค!W52)</f>
        <v/>
      </c>
      <c r="AP49" t="str">
        <f>IF(คุณลักษณะอันพึงประสงค์!D52="","",คุณลักษณะอันพึงประสงค์!D52)</f>
        <v/>
      </c>
      <c r="AQ49" t="str">
        <f>IF(คุณลักษณะอันพึงประสงค์!E52="","",คุณลักษณะอันพึงประสงค์!E52)</f>
        <v/>
      </c>
      <c r="AR49" t="str">
        <f>IF(คุณลักษณะอันพึงประสงค์!F52="","",คุณลักษณะอันพึงประสงค์!F52)</f>
        <v/>
      </c>
      <c r="AS49" t="str">
        <f>IF(คุณลักษณะอันพึงประสงค์!G52="","",คุณลักษณะอันพึงประสงค์!G52)</f>
        <v/>
      </c>
      <c r="AT49" t="str">
        <f>IF(คุณลักษณะอันพึงประสงค์!H52="","",คุณลักษณะอันพึงประสงค์!H52)</f>
        <v/>
      </c>
      <c r="AU49" t="str">
        <f>IF(คุณลักษณะอันพึงประสงค์!I52="","",คุณลักษณะอันพึงประสงค์!I52)</f>
        <v/>
      </c>
      <c r="AV49" t="str">
        <f>IF(คุณลักษณะอันพึงประสงค์!J52="","",คุณลักษณะอันพึงประสงค์!J52)</f>
        <v/>
      </c>
      <c r="AW49" t="str">
        <f>IF(คุณลักษณะอันพึงประสงค์!K52="","",คุณลักษณะอันพึงประสงค์!K52)</f>
        <v/>
      </c>
      <c r="AX49" t="str">
        <f>IF(คุณลักษณะอันพึงประสงค์!L52="","",คุณลักษณะอันพึงประสงค์!L52)</f>
        <v/>
      </c>
      <c r="AY49" t="str">
        <f>IF(คุณลักษณะอันพึงประสงค์!M52="","",คุณลักษณะอันพึงประสงค์!M52)</f>
        <v/>
      </c>
      <c r="AZ49" t="str">
        <f>IF(กลางภาค!D52="","",กลางภาค!D52)</f>
        <v/>
      </c>
      <c r="BA49" t="str">
        <f>IF(กลางภาค!E52="","",กลางภาค!E52)</f>
        <v/>
      </c>
      <c r="BB49" t="str">
        <f>IF(กลางภาค!F52="","",กลางภาค!F52)</f>
        <v/>
      </c>
      <c r="BC49" t="str">
        <f>IF(กลางภาค!G52="","",กลางภาค!G52)</f>
        <v/>
      </c>
      <c r="BD49" t="str">
        <f>IF(กลางภาค!H52="","",กลางภาค!H52)</f>
        <v/>
      </c>
      <c r="BE49" t="str">
        <f>IF(กลางภาค!I52="","",กลางภาค!I52)</f>
        <v/>
      </c>
      <c r="BF49" t="str">
        <f>IF(กลางภาค!J52="","",กลางภาค!J52)</f>
        <v/>
      </c>
      <c r="BG49" t="str">
        <f>IF(กลางภาค!K52="","",กลางภาค!K52)</f>
        <v/>
      </c>
      <c r="BH49" t="str">
        <f>IF(กลางภาค!L52="","",กลางภาค!L52)</f>
        <v/>
      </c>
      <c r="BI49" t="str">
        <f>IF(กลางภาค!M52="","",กลางภาค!M52)</f>
        <v/>
      </c>
      <c r="BJ49" t="str">
        <f>IF(ปลายภาค!D52="","",ปลายภาค!D52)</f>
        <v/>
      </c>
      <c r="BK49" t="str">
        <f>IF(ปลายภาค!E52="","",ปลายภาค!E52)</f>
        <v/>
      </c>
      <c r="BL49" t="str">
        <f>IF(ปลายภาค!F52="","",ปลายภาค!F52)</f>
        <v/>
      </c>
      <c r="BM49" t="str">
        <f>IF(ปลายภาค!G52="","",ปลายภาค!G52)</f>
        <v/>
      </c>
      <c r="BN49" t="str">
        <f>IF(ปลายภาค!H52="","",ปลายภาค!H52)</f>
        <v/>
      </c>
      <c r="BO49" t="str">
        <f>IF(ปลายภาค!I52="","",ปลายภาค!I52)</f>
        <v/>
      </c>
      <c r="BP49" t="str">
        <f>IF(ปลายภาค!J52="","",ปลายภาค!J52)</f>
        <v/>
      </c>
      <c r="BQ49" t="str">
        <f>IF(ปลายภาค!K52="","",ปลายภาค!K52)</f>
        <v/>
      </c>
      <c r="BR49" t="str">
        <f>IF(ปลายภาค!L52="","",ปลายภาค!L52)</f>
        <v/>
      </c>
      <c r="BS49" t="str">
        <f>IF(ปลายภาค!M52="","",ปลายภาค!M52)</f>
        <v/>
      </c>
      <c r="BT49" t="str">
        <f>IF(กลางภาค!N52="","",กลางภาค!N52)</f>
        <v/>
      </c>
      <c r="BU49" t="str">
        <f>IF(ปลายภาค!N52="","",ปลายภาค!N52)</f>
        <v/>
      </c>
      <c r="BV49" t="str">
        <f>IF(คุณลักษณะอันพึงประสงค์!X52="","",คุณลักษณะอันพึงประสงค์!X52)</f>
        <v/>
      </c>
      <c r="BW49" t="str">
        <f>IF(อ่านคิดวิเคราะห์!I52="","",อ่านคิดวิเคราะห์!I52)</f>
        <v/>
      </c>
      <c r="BX49" t="str">
        <f>IF(สมรรถนะ!N52="","",สมรรถนะ!N52)</f>
        <v/>
      </c>
      <c r="BY49" t="str">
        <f>IF(อ่านคิดวิเคราะห์!D52="","",อ่านคิดวิเคราะห์!D52)</f>
        <v/>
      </c>
      <c r="BZ49" t="str">
        <f>IF(อ่านคิดวิเคราะห์!E52="","",อ่านคิดวิเคราะห์!E52)</f>
        <v/>
      </c>
      <c r="CA49" t="str">
        <f>IF(อ่านคิดวิเคราะห์!F52="","",อ่านคิดวิเคราะห์!F52)</f>
        <v/>
      </c>
      <c r="CB49" t="str">
        <f>IF(อ่านคิดวิเคราะห์!G52="","",อ่านคิดวิเคราะห์!G52)</f>
        <v/>
      </c>
      <c r="CC49" t="str">
        <f>IF(อ่านคิดวิเคราะห์!H52="","",อ่านคิดวิเคราะห์!H52)</f>
        <v/>
      </c>
      <c r="CD49" t="str">
        <f>IF(สมรรถนะ!D52="","",สมรรถนะ!D52)</f>
        <v/>
      </c>
      <c r="CE49" t="str">
        <f>IF(สมรรถนะ!E52="","",สมรรถนะ!E52)</f>
        <v/>
      </c>
      <c r="CF49" t="str">
        <f>IF(สมรรถนะ!F52="","",สมรรถนะ!F52)</f>
        <v/>
      </c>
      <c r="CG49" t="str">
        <f>IF(สมรรถนะ!G52="","",สมรรถนะ!G52)</f>
        <v/>
      </c>
      <c r="CH49" t="str">
        <f>IF(สมรรถนะ!H52="","",สมรรถนะ!H52)</f>
        <v/>
      </c>
      <c r="CI49" t="str">
        <f>IF(สมรรถนะ!I52="","",สมรรถนะ!I52)</f>
        <v/>
      </c>
      <c r="CJ49" t="str">
        <f>IF(สมรรถนะ!J52="","",สมรรถนะ!J52)</f>
        <v/>
      </c>
      <c r="CK49" t="str">
        <f>IF(สมรรถนะ!K52="","",สมรรถนะ!K52)</f>
        <v/>
      </c>
      <c r="CL49" t="str">
        <f>IF(สมรรถนะ!L52="","",สมรรถนะ!L52)</f>
        <v/>
      </c>
      <c r="CM49" t="str">
        <f>IF(สมรรถนะ!M52="","",สมรรถนะ!M52)</f>
        <v/>
      </c>
      <c r="CN49" t="str">
        <f>IF(คุณลักษณะอันพึงประสงค์!N52="","",คุณลักษณะอันพึงประสงค์!N52)</f>
        <v/>
      </c>
      <c r="CO49" t="str">
        <f>IF(คุณลักษณะอันพึงประสงค์!O52="","",คุณลักษณะอันพึงประสงค์!O52)</f>
        <v/>
      </c>
      <c r="CP49" t="str">
        <f>IF(คุณลักษณะอันพึงประสงค์!P52="","",คุณลักษณะอันพึงประสงค์!P52)</f>
        <v/>
      </c>
      <c r="CQ49" t="str">
        <f>IF(คุณลักษณะอันพึงประสงค์!Q52="","",คุณลักษณะอันพึงประสงค์!Q52)</f>
        <v/>
      </c>
      <c r="CR49" t="str">
        <f>IF(คุณลักษณะอันพึงประสงค์!R52="","",คุณลักษณะอันพึงประสงค์!R52)</f>
        <v/>
      </c>
      <c r="CS49" t="str">
        <f>IF(คุณลักษณะอันพึงประสงค์!S52="","",คุณลักษณะอันพึงประสงค์!S52)</f>
        <v/>
      </c>
      <c r="CT49" t="str">
        <f>IF(คุณลักษณะอันพึงประสงค์!T52="","",คุณลักษณะอันพึงประสงค์!T52)</f>
        <v/>
      </c>
      <c r="CU49" t="str">
        <f>IF(คุณลักษณะอันพึงประสงค์!U52="","",คุณลักษณะอันพึงประสงค์!U52)</f>
        <v/>
      </c>
      <c r="CV49" t="str">
        <f>IF(คุณลักษณะอันพึงประสงค์!V52="","",คุณลักษณะอันพึงประสงค์!V52)</f>
        <v/>
      </c>
      <c r="CW49" t="str">
        <f>IF(คุณลักษณะอันพึงประสงค์!W52="","",คุณลักษณะอันพึงประสงค์!W52)</f>
        <v/>
      </c>
    </row>
    <row r="50" spans="1:101">
      <c r="A50" t="str">
        <f>IF(คะแนนเก็บ!B53="","",คะแนนเก็บ!B53)</f>
        <v/>
      </c>
      <c r="B50" t="str">
        <f>IF(คะแนนเก็บ!D53="","",คะแนนเก็บ!D53)</f>
        <v/>
      </c>
      <c r="C50" t="str">
        <f>IF(คะแนนเก็บ!E53="","",คะแนนเก็บ!E53)</f>
        <v/>
      </c>
      <c r="D50" t="str">
        <f>IF(คะแนนเก็บ!F53="","",คะแนนเก็บ!F53)</f>
        <v/>
      </c>
      <c r="E50" t="str">
        <f>IF(คะแนนเก็บ!G53="","",คะแนนเก็บ!G53)</f>
        <v/>
      </c>
      <c r="F50" t="str">
        <f>IF(คะแนนเก็บ!H53="","",คะแนนเก็บ!H53)</f>
        <v/>
      </c>
      <c r="G50" t="str">
        <f>IF(คะแนนเก็บ!I53="","",คะแนนเก็บ!I53)</f>
        <v/>
      </c>
      <c r="H50" t="str">
        <f>IF(คะแนนเก็บ!J53="","",คะแนนเก็บ!J53)</f>
        <v/>
      </c>
      <c r="I50" t="str">
        <f>IF(คะแนนเก็บ!K53="","",คะแนนเก็บ!K53)</f>
        <v/>
      </c>
      <c r="J50" t="str">
        <f>IF(คะแนนเก็บ!L53="","",คะแนนเก็บ!L53)</f>
        <v/>
      </c>
      <c r="K50" t="str">
        <f>IF(คะแนนเก็บ!M53="","",คะแนนเก็บ!M53)</f>
        <v/>
      </c>
      <c r="L50" t="str">
        <f>IF(คะแนนเก็บ!N53="","",คะแนนเก็บ!N53)</f>
        <v/>
      </c>
      <c r="M50" t="str">
        <f>IF(คะแนนเก็บ!O53="","",คะแนนเก็บ!O53)</f>
        <v/>
      </c>
      <c r="N50" t="str">
        <f>IF(คะแนนเก็บ!P53="","",คะแนนเก็บ!P53)</f>
        <v/>
      </c>
      <c r="O50" t="str">
        <f>IF(คะแนนเก็บ!Q53="","",คะแนนเก็บ!Q53)</f>
        <v/>
      </c>
      <c r="P50" t="str">
        <f>IF(คะแนนเก็บ!R53="","",คะแนนเก็บ!R53)</f>
        <v/>
      </c>
      <c r="Q50" t="str">
        <f>IF(คะแนนเก็บ!S53="","",คะแนนเก็บ!S53)</f>
        <v/>
      </c>
      <c r="R50" t="str">
        <f>IF(คะแนนเก็บ!T53="","",คะแนนเก็บ!T53)</f>
        <v/>
      </c>
      <c r="S50" t="str">
        <f>IF(คะแนนเก็บ!U53="","",คะแนนเก็บ!U53)</f>
        <v/>
      </c>
      <c r="T50" t="str">
        <f>IF(คะแนนเก็บ!V53="","",คะแนนเก็บ!V53)</f>
        <v/>
      </c>
      <c r="U50" t="str">
        <f>IF(คะแนนเก็บ!W53="","",คะแนนเก็บ!W53)</f>
        <v/>
      </c>
      <c r="V50" t="str">
        <f>IF(คะแนนเก็บหลังกลางภาค!D53="","",คะแนนเก็บหลังกลางภาค!D53)</f>
        <v/>
      </c>
      <c r="W50" t="str">
        <f>IF(คะแนนเก็บหลังกลางภาค!E53="","",คะแนนเก็บหลังกลางภาค!E53)</f>
        <v/>
      </c>
      <c r="X50" t="str">
        <f>IF(คะแนนเก็บหลังกลางภาค!F53="","",คะแนนเก็บหลังกลางภาค!F53)</f>
        <v/>
      </c>
      <c r="Y50" t="str">
        <f>IF(คะแนนเก็บหลังกลางภาค!G53="","",คะแนนเก็บหลังกลางภาค!G53)</f>
        <v/>
      </c>
      <c r="Z50" t="str">
        <f>IF(คะแนนเก็บหลังกลางภาค!H53="","",คะแนนเก็บหลังกลางภาค!H53)</f>
        <v/>
      </c>
      <c r="AA50" t="str">
        <f>IF(คะแนนเก็บหลังกลางภาค!I53="","",คะแนนเก็บหลังกลางภาค!I53)</f>
        <v/>
      </c>
      <c r="AB50" t="str">
        <f>IF(คะแนนเก็บหลังกลางภาค!J53="","",คะแนนเก็บหลังกลางภาค!J53)</f>
        <v/>
      </c>
      <c r="AC50" t="str">
        <f>IF(คะแนนเก็บหลังกลางภาค!K53="","",คะแนนเก็บหลังกลางภาค!K53)</f>
        <v/>
      </c>
      <c r="AD50" t="str">
        <f>IF(คะแนนเก็บหลังกลางภาค!L53="","",คะแนนเก็บหลังกลางภาค!L53)</f>
        <v/>
      </c>
      <c r="AE50" t="str">
        <f>IF(คะแนนเก็บหลังกลางภาค!M53="","",คะแนนเก็บหลังกลางภาค!M53)</f>
        <v/>
      </c>
      <c r="AF50" t="str">
        <f>IF(คะแนนเก็บหลังกลางภาค!N53="","",คะแนนเก็บหลังกลางภาค!N53)</f>
        <v/>
      </c>
      <c r="AG50" t="str">
        <f>IF(คะแนนเก็บหลังกลางภาค!O53="","",คะแนนเก็บหลังกลางภาค!O53)</f>
        <v/>
      </c>
      <c r="AH50" t="str">
        <f>IF(คะแนนเก็บหลังกลางภาค!P53="","",คะแนนเก็บหลังกลางภาค!P53)</f>
        <v/>
      </c>
      <c r="AI50" t="str">
        <f>IF(คะแนนเก็บหลังกลางภาค!Q53="","",คะแนนเก็บหลังกลางภาค!Q53)</f>
        <v/>
      </c>
      <c r="AJ50" t="str">
        <f>IF(คะแนนเก็บหลังกลางภาค!R53="","",คะแนนเก็บหลังกลางภาค!R53)</f>
        <v/>
      </c>
      <c r="AK50" t="str">
        <f>IF(คะแนนเก็บหลังกลางภาค!S53="","",คะแนนเก็บหลังกลางภาค!S53)</f>
        <v/>
      </c>
      <c r="AL50" t="str">
        <f>IF(คะแนนเก็บหลังกลางภาค!T53="","",คะแนนเก็บหลังกลางภาค!T53)</f>
        <v/>
      </c>
      <c r="AM50" t="str">
        <f>IF(คะแนนเก็บหลังกลางภาค!U53="","",คะแนนเก็บหลังกลางภาค!U53)</f>
        <v/>
      </c>
      <c r="AN50" t="str">
        <f>IF(คะแนนเก็บหลังกลางภาค!V53="","",คะแนนเก็บหลังกลางภาค!V53)</f>
        <v/>
      </c>
      <c r="AO50" t="str">
        <f>IF(คะแนนเก็บหลังกลางภาค!W53="","",คะแนนเก็บหลังกลางภาค!W53)</f>
        <v/>
      </c>
      <c r="AP50" t="str">
        <f>IF(คุณลักษณะอันพึงประสงค์!D53="","",คุณลักษณะอันพึงประสงค์!D53)</f>
        <v/>
      </c>
      <c r="AQ50" t="str">
        <f>IF(คุณลักษณะอันพึงประสงค์!E53="","",คุณลักษณะอันพึงประสงค์!E53)</f>
        <v/>
      </c>
      <c r="AR50" t="str">
        <f>IF(คุณลักษณะอันพึงประสงค์!F53="","",คุณลักษณะอันพึงประสงค์!F53)</f>
        <v/>
      </c>
      <c r="AS50" t="str">
        <f>IF(คุณลักษณะอันพึงประสงค์!G53="","",คุณลักษณะอันพึงประสงค์!G53)</f>
        <v/>
      </c>
      <c r="AT50" t="str">
        <f>IF(คุณลักษณะอันพึงประสงค์!H53="","",คุณลักษณะอันพึงประสงค์!H53)</f>
        <v/>
      </c>
      <c r="AU50" t="str">
        <f>IF(คุณลักษณะอันพึงประสงค์!I53="","",คุณลักษณะอันพึงประสงค์!I53)</f>
        <v/>
      </c>
      <c r="AV50" t="str">
        <f>IF(คุณลักษณะอันพึงประสงค์!J53="","",คุณลักษณะอันพึงประสงค์!J53)</f>
        <v/>
      </c>
      <c r="AW50" t="str">
        <f>IF(คุณลักษณะอันพึงประสงค์!K53="","",คุณลักษณะอันพึงประสงค์!K53)</f>
        <v/>
      </c>
      <c r="AX50" t="str">
        <f>IF(คุณลักษณะอันพึงประสงค์!L53="","",คุณลักษณะอันพึงประสงค์!L53)</f>
        <v/>
      </c>
      <c r="AY50" t="str">
        <f>IF(คุณลักษณะอันพึงประสงค์!M53="","",คุณลักษณะอันพึงประสงค์!M53)</f>
        <v/>
      </c>
      <c r="AZ50" t="str">
        <f>IF(กลางภาค!D53="","",กลางภาค!D53)</f>
        <v/>
      </c>
      <c r="BA50" t="str">
        <f>IF(กลางภาค!E53="","",กลางภาค!E53)</f>
        <v/>
      </c>
      <c r="BB50" t="str">
        <f>IF(กลางภาค!F53="","",กลางภาค!F53)</f>
        <v/>
      </c>
      <c r="BC50" t="str">
        <f>IF(กลางภาค!G53="","",กลางภาค!G53)</f>
        <v/>
      </c>
      <c r="BD50" t="str">
        <f>IF(กลางภาค!H53="","",กลางภาค!H53)</f>
        <v/>
      </c>
      <c r="BE50" t="str">
        <f>IF(กลางภาค!I53="","",กลางภาค!I53)</f>
        <v/>
      </c>
      <c r="BF50" t="str">
        <f>IF(กลางภาค!J53="","",กลางภาค!J53)</f>
        <v/>
      </c>
      <c r="BG50" t="str">
        <f>IF(กลางภาค!K53="","",กลางภาค!K53)</f>
        <v/>
      </c>
      <c r="BH50" t="str">
        <f>IF(กลางภาค!L53="","",กลางภาค!L53)</f>
        <v/>
      </c>
      <c r="BI50" t="str">
        <f>IF(กลางภาค!M53="","",กลางภาค!M53)</f>
        <v/>
      </c>
      <c r="BJ50" t="str">
        <f>IF(ปลายภาค!D53="","",ปลายภาค!D53)</f>
        <v/>
      </c>
      <c r="BK50" t="str">
        <f>IF(ปลายภาค!E53="","",ปลายภาค!E53)</f>
        <v/>
      </c>
      <c r="BL50" t="str">
        <f>IF(ปลายภาค!F53="","",ปลายภาค!F53)</f>
        <v/>
      </c>
      <c r="BM50" t="str">
        <f>IF(ปลายภาค!G53="","",ปลายภาค!G53)</f>
        <v/>
      </c>
      <c r="BN50" t="str">
        <f>IF(ปลายภาค!H53="","",ปลายภาค!H53)</f>
        <v/>
      </c>
      <c r="BO50" t="str">
        <f>IF(ปลายภาค!I53="","",ปลายภาค!I53)</f>
        <v/>
      </c>
      <c r="BP50" t="str">
        <f>IF(ปลายภาค!J53="","",ปลายภาค!J53)</f>
        <v/>
      </c>
      <c r="BQ50" t="str">
        <f>IF(ปลายภาค!K53="","",ปลายภาค!K53)</f>
        <v/>
      </c>
      <c r="BR50" t="str">
        <f>IF(ปลายภาค!L53="","",ปลายภาค!L53)</f>
        <v/>
      </c>
      <c r="BS50" t="str">
        <f>IF(ปลายภาค!M53="","",ปลายภาค!M53)</f>
        <v/>
      </c>
      <c r="BT50" t="str">
        <f>IF(กลางภาค!N53="","",กลางภาค!N53)</f>
        <v/>
      </c>
      <c r="BU50" t="str">
        <f>IF(ปลายภาค!N53="","",ปลายภาค!N53)</f>
        <v/>
      </c>
      <c r="BV50" t="str">
        <f>IF(คุณลักษณะอันพึงประสงค์!X53="","",คุณลักษณะอันพึงประสงค์!X53)</f>
        <v/>
      </c>
      <c r="BW50" t="str">
        <f>IF(อ่านคิดวิเคราะห์!I53="","",อ่านคิดวิเคราะห์!I53)</f>
        <v/>
      </c>
      <c r="BX50" t="str">
        <f>IF(สมรรถนะ!N53="","",สมรรถนะ!N53)</f>
        <v/>
      </c>
      <c r="BY50" t="str">
        <f>IF(อ่านคิดวิเคราะห์!D53="","",อ่านคิดวิเคราะห์!D53)</f>
        <v/>
      </c>
      <c r="BZ50" t="str">
        <f>IF(อ่านคิดวิเคราะห์!E53="","",อ่านคิดวิเคราะห์!E53)</f>
        <v/>
      </c>
      <c r="CA50" t="str">
        <f>IF(อ่านคิดวิเคราะห์!F53="","",อ่านคิดวิเคราะห์!F53)</f>
        <v/>
      </c>
      <c r="CB50" t="str">
        <f>IF(อ่านคิดวิเคราะห์!G53="","",อ่านคิดวิเคราะห์!G53)</f>
        <v/>
      </c>
      <c r="CC50" t="str">
        <f>IF(อ่านคิดวิเคราะห์!H53="","",อ่านคิดวิเคราะห์!H53)</f>
        <v/>
      </c>
      <c r="CD50" t="str">
        <f>IF(สมรรถนะ!D53="","",สมรรถนะ!D53)</f>
        <v/>
      </c>
      <c r="CE50" t="str">
        <f>IF(สมรรถนะ!E53="","",สมรรถนะ!E53)</f>
        <v/>
      </c>
      <c r="CF50" t="str">
        <f>IF(สมรรถนะ!F53="","",สมรรถนะ!F53)</f>
        <v/>
      </c>
      <c r="CG50" t="str">
        <f>IF(สมรรถนะ!G53="","",สมรรถนะ!G53)</f>
        <v/>
      </c>
      <c r="CH50" t="str">
        <f>IF(สมรรถนะ!H53="","",สมรรถนะ!H53)</f>
        <v/>
      </c>
      <c r="CI50" t="str">
        <f>IF(สมรรถนะ!I53="","",สมรรถนะ!I53)</f>
        <v/>
      </c>
      <c r="CJ50" t="str">
        <f>IF(สมรรถนะ!J53="","",สมรรถนะ!J53)</f>
        <v/>
      </c>
      <c r="CK50" t="str">
        <f>IF(สมรรถนะ!K53="","",สมรรถนะ!K53)</f>
        <v/>
      </c>
      <c r="CL50" t="str">
        <f>IF(สมรรถนะ!L53="","",สมรรถนะ!L53)</f>
        <v/>
      </c>
      <c r="CM50" t="str">
        <f>IF(สมรรถนะ!M53="","",สมรรถนะ!M53)</f>
        <v/>
      </c>
      <c r="CN50" t="str">
        <f>IF(คุณลักษณะอันพึงประสงค์!N53="","",คุณลักษณะอันพึงประสงค์!N53)</f>
        <v/>
      </c>
      <c r="CO50" t="str">
        <f>IF(คุณลักษณะอันพึงประสงค์!O53="","",คุณลักษณะอันพึงประสงค์!O53)</f>
        <v/>
      </c>
      <c r="CP50" t="str">
        <f>IF(คุณลักษณะอันพึงประสงค์!P53="","",คุณลักษณะอันพึงประสงค์!P53)</f>
        <v/>
      </c>
      <c r="CQ50" t="str">
        <f>IF(คุณลักษณะอันพึงประสงค์!Q53="","",คุณลักษณะอันพึงประสงค์!Q53)</f>
        <v/>
      </c>
      <c r="CR50" t="str">
        <f>IF(คุณลักษณะอันพึงประสงค์!R53="","",คุณลักษณะอันพึงประสงค์!R53)</f>
        <v/>
      </c>
      <c r="CS50" t="str">
        <f>IF(คุณลักษณะอันพึงประสงค์!S53="","",คุณลักษณะอันพึงประสงค์!S53)</f>
        <v/>
      </c>
      <c r="CT50" t="str">
        <f>IF(คุณลักษณะอันพึงประสงค์!T53="","",คุณลักษณะอันพึงประสงค์!T53)</f>
        <v/>
      </c>
      <c r="CU50" t="str">
        <f>IF(คุณลักษณะอันพึงประสงค์!U53="","",คุณลักษณะอันพึงประสงค์!U53)</f>
        <v/>
      </c>
      <c r="CV50" t="str">
        <f>IF(คุณลักษณะอันพึงประสงค์!V53="","",คุณลักษณะอันพึงประสงค์!V53)</f>
        <v/>
      </c>
      <c r="CW50" t="str">
        <f>IF(คุณลักษณะอันพึงประสงค์!W53="","",คุณลักษณะอันพึงประสงค์!W53)</f>
        <v/>
      </c>
    </row>
    <row r="51" spans="1:101">
      <c r="A51" t="str">
        <f>IF(คะแนนเก็บ!B54="","",คะแนนเก็บ!B54)</f>
        <v/>
      </c>
      <c r="B51" t="str">
        <f>IF(คะแนนเก็บ!D54="","",คะแนนเก็บ!D54)</f>
        <v/>
      </c>
      <c r="C51" t="str">
        <f>IF(คะแนนเก็บ!E54="","",คะแนนเก็บ!E54)</f>
        <v/>
      </c>
      <c r="D51" t="str">
        <f>IF(คะแนนเก็บ!F54="","",คะแนนเก็บ!F54)</f>
        <v/>
      </c>
      <c r="E51" t="str">
        <f>IF(คะแนนเก็บ!G54="","",คะแนนเก็บ!G54)</f>
        <v/>
      </c>
      <c r="F51" t="str">
        <f>IF(คะแนนเก็บ!H54="","",คะแนนเก็บ!H54)</f>
        <v/>
      </c>
      <c r="G51" t="str">
        <f>IF(คะแนนเก็บ!I54="","",คะแนนเก็บ!I54)</f>
        <v/>
      </c>
      <c r="H51" t="str">
        <f>IF(คะแนนเก็บ!J54="","",คะแนนเก็บ!J54)</f>
        <v/>
      </c>
      <c r="I51" t="str">
        <f>IF(คะแนนเก็บ!K54="","",คะแนนเก็บ!K54)</f>
        <v/>
      </c>
      <c r="J51" t="str">
        <f>IF(คะแนนเก็บ!L54="","",คะแนนเก็บ!L54)</f>
        <v/>
      </c>
      <c r="K51" t="str">
        <f>IF(คะแนนเก็บ!M54="","",คะแนนเก็บ!M54)</f>
        <v/>
      </c>
      <c r="L51" t="str">
        <f>IF(คะแนนเก็บ!N54="","",คะแนนเก็บ!N54)</f>
        <v/>
      </c>
      <c r="M51" t="str">
        <f>IF(คะแนนเก็บ!O54="","",คะแนนเก็บ!O54)</f>
        <v/>
      </c>
      <c r="N51" t="str">
        <f>IF(คะแนนเก็บ!P54="","",คะแนนเก็บ!P54)</f>
        <v/>
      </c>
      <c r="O51" t="str">
        <f>IF(คะแนนเก็บ!Q54="","",คะแนนเก็บ!Q54)</f>
        <v/>
      </c>
      <c r="P51" t="str">
        <f>IF(คะแนนเก็บ!R54="","",คะแนนเก็บ!R54)</f>
        <v/>
      </c>
      <c r="Q51" t="str">
        <f>IF(คะแนนเก็บ!S54="","",คะแนนเก็บ!S54)</f>
        <v/>
      </c>
      <c r="R51" t="str">
        <f>IF(คะแนนเก็บ!T54="","",คะแนนเก็บ!T54)</f>
        <v/>
      </c>
      <c r="S51" t="str">
        <f>IF(คะแนนเก็บ!U54="","",คะแนนเก็บ!U54)</f>
        <v/>
      </c>
      <c r="T51" t="str">
        <f>IF(คะแนนเก็บ!V54="","",คะแนนเก็บ!V54)</f>
        <v/>
      </c>
      <c r="U51" t="str">
        <f>IF(คะแนนเก็บ!W54="","",คะแนนเก็บ!W54)</f>
        <v/>
      </c>
      <c r="V51" t="str">
        <f>IF(คะแนนเก็บหลังกลางภาค!D54="","",คะแนนเก็บหลังกลางภาค!D54)</f>
        <v/>
      </c>
      <c r="W51" t="str">
        <f>IF(คะแนนเก็บหลังกลางภาค!E54="","",คะแนนเก็บหลังกลางภาค!E54)</f>
        <v/>
      </c>
      <c r="X51" t="str">
        <f>IF(คะแนนเก็บหลังกลางภาค!F54="","",คะแนนเก็บหลังกลางภาค!F54)</f>
        <v/>
      </c>
      <c r="Y51" t="str">
        <f>IF(คะแนนเก็บหลังกลางภาค!G54="","",คะแนนเก็บหลังกลางภาค!G54)</f>
        <v/>
      </c>
      <c r="Z51" t="str">
        <f>IF(คะแนนเก็บหลังกลางภาค!H54="","",คะแนนเก็บหลังกลางภาค!H54)</f>
        <v/>
      </c>
      <c r="AA51" t="str">
        <f>IF(คะแนนเก็บหลังกลางภาค!I54="","",คะแนนเก็บหลังกลางภาค!I54)</f>
        <v/>
      </c>
      <c r="AB51" t="str">
        <f>IF(คะแนนเก็บหลังกลางภาค!J54="","",คะแนนเก็บหลังกลางภาค!J54)</f>
        <v/>
      </c>
      <c r="AC51" t="str">
        <f>IF(คะแนนเก็บหลังกลางภาค!K54="","",คะแนนเก็บหลังกลางภาค!K54)</f>
        <v/>
      </c>
      <c r="AD51" t="str">
        <f>IF(คะแนนเก็บหลังกลางภาค!L54="","",คะแนนเก็บหลังกลางภาค!L54)</f>
        <v/>
      </c>
      <c r="AE51" t="str">
        <f>IF(คะแนนเก็บหลังกลางภาค!M54="","",คะแนนเก็บหลังกลางภาค!M54)</f>
        <v/>
      </c>
      <c r="AF51" t="str">
        <f>IF(คะแนนเก็บหลังกลางภาค!N54="","",คะแนนเก็บหลังกลางภาค!N54)</f>
        <v/>
      </c>
      <c r="AG51" t="str">
        <f>IF(คะแนนเก็บหลังกลางภาค!O54="","",คะแนนเก็บหลังกลางภาค!O54)</f>
        <v/>
      </c>
      <c r="AH51" t="str">
        <f>IF(คะแนนเก็บหลังกลางภาค!P54="","",คะแนนเก็บหลังกลางภาค!P54)</f>
        <v/>
      </c>
      <c r="AI51" t="str">
        <f>IF(คะแนนเก็บหลังกลางภาค!Q54="","",คะแนนเก็บหลังกลางภาค!Q54)</f>
        <v/>
      </c>
      <c r="AJ51" t="str">
        <f>IF(คะแนนเก็บหลังกลางภาค!R54="","",คะแนนเก็บหลังกลางภาค!R54)</f>
        <v/>
      </c>
      <c r="AK51" t="str">
        <f>IF(คะแนนเก็บหลังกลางภาค!S54="","",คะแนนเก็บหลังกลางภาค!S54)</f>
        <v/>
      </c>
      <c r="AL51" t="str">
        <f>IF(คะแนนเก็บหลังกลางภาค!T54="","",คะแนนเก็บหลังกลางภาค!T54)</f>
        <v/>
      </c>
      <c r="AM51" t="str">
        <f>IF(คะแนนเก็บหลังกลางภาค!U54="","",คะแนนเก็บหลังกลางภาค!U54)</f>
        <v/>
      </c>
      <c r="AN51" t="str">
        <f>IF(คะแนนเก็บหลังกลางภาค!V54="","",คะแนนเก็บหลังกลางภาค!V54)</f>
        <v/>
      </c>
      <c r="AO51" t="str">
        <f>IF(คะแนนเก็บหลังกลางภาค!W54="","",คะแนนเก็บหลังกลางภาค!W54)</f>
        <v/>
      </c>
      <c r="AP51" t="str">
        <f>IF(คุณลักษณะอันพึงประสงค์!D54="","",คุณลักษณะอันพึงประสงค์!D54)</f>
        <v/>
      </c>
      <c r="AQ51" t="str">
        <f>IF(คุณลักษณะอันพึงประสงค์!E54="","",คุณลักษณะอันพึงประสงค์!E54)</f>
        <v/>
      </c>
      <c r="AR51" t="str">
        <f>IF(คุณลักษณะอันพึงประสงค์!F54="","",คุณลักษณะอันพึงประสงค์!F54)</f>
        <v/>
      </c>
      <c r="AS51" t="str">
        <f>IF(คุณลักษณะอันพึงประสงค์!G54="","",คุณลักษณะอันพึงประสงค์!G54)</f>
        <v/>
      </c>
      <c r="AT51" t="str">
        <f>IF(คุณลักษณะอันพึงประสงค์!H54="","",คุณลักษณะอันพึงประสงค์!H54)</f>
        <v/>
      </c>
      <c r="AU51" t="str">
        <f>IF(คุณลักษณะอันพึงประสงค์!I54="","",คุณลักษณะอันพึงประสงค์!I54)</f>
        <v/>
      </c>
      <c r="AV51" t="str">
        <f>IF(คุณลักษณะอันพึงประสงค์!J54="","",คุณลักษณะอันพึงประสงค์!J54)</f>
        <v/>
      </c>
      <c r="AW51" t="str">
        <f>IF(คุณลักษณะอันพึงประสงค์!K54="","",คุณลักษณะอันพึงประสงค์!K54)</f>
        <v/>
      </c>
      <c r="AX51" t="str">
        <f>IF(คุณลักษณะอันพึงประสงค์!L54="","",คุณลักษณะอันพึงประสงค์!L54)</f>
        <v/>
      </c>
      <c r="AY51" t="str">
        <f>IF(คุณลักษณะอันพึงประสงค์!M54="","",คุณลักษณะอันพึงประสงค์!M54)</f>
        <v/>
      </c>
      <c r="AZ51" t="str">
        <f>IF(กลางภาค!D54="","",กลางภาค!D54)</f>
        <v/>
      </c>
      <c r="BA51" t="str">
        <f>IF(กลางภาค!E54="","",กลางภาค!E54)</f>
        <v/>
      </c>
      <c r="BB51" t="str">
        <f>IF(กลางภาค!F54="","",กลางภาค!F54)</f>
        <v/>
      </c>
      <c r="BC51" t="str">
        <f>IF(กลางภาค!G54="","",กลางภาค!G54)</f>
        <v/>
      </c>
      <c r="BD51" t="str">
        <f>IF(กลางภาค!H54="","",กลางภาค!H54)</f>
        <v/>
      </c>
      <c r="BE51" t="str">
        <f>IF(กลางภาค!I54="","",กลางภาค!I54)</f>
        <v/>
      </c>
      <c r="BF51" t="str">
        <f>IF(กลางภาค!J54="","",กลางภาค!J54)</f>
        <v/>
      </c>
      <c r="BG51" t="str">
        <f>IF(กลางภาค!K54="","",กลางภาค!K54)</f>
        <v/>
      </c>
      <c r="BH51" t="str">
        <f>IF(กลางภาค!L54="","",กลางภาค!L54)</f>
        <v/>
      </c>
      <c r="BI51" t="str">
        <f>IF(กลางภาค!M54="","",กลางภาค!M54)</f>
        <v/>
      </c>
      <c r="BJ51" t="str">
        <f>IF(ปลายภาค!D54="","",ปลายภาค!D54)</f>
        <v/>
      </c>
      <c r="BK51" t="str">
        <f>IF(ปลายภาค!E54="","",ปลายภาค!E54)</f>
        <v/>
      </c>
      <c r="BL51" t="str">
        <f>IF(ปลายภาค!F54="","",ปลายภาค!F54)</f>
        <v/>
      </c>
      <c r="BM51" t="str">
        <f>IF(ปลายภาค!G54="","",ปลายภาค!G54)</f>
        <v/>
      </c>
      <c r="BN51" t="str">
        <f>IF(ปลายภาค!H54="","",ปลายภาค!H54)</f>
        <v/>
      </c>
      <c r="BO51" t="str">
        <f>IF(ปลายภาค!I54="","",ปลายภาค!I54)</f>
        <v/>
      </c>
      <c r="BP51" t="str">
        <f>IF(ปลายภาค!J54="","",ปลายภาค!J54)</f>
        <v/>
      </c>
      <c r="BQ51" t="str">
        <f>IF(ปลายภาค!K54="","",ปลายภาค!K54)</f>
        <v/>
      </c>
      <c r="BR51" t="str">
        <f>IF(ปลายภาค!L54="","",ปลายภาค!L54)</f>
        <v/>
      </c>
      <c r="BS51" t="str">
        <f>IF(ปลายภาค!M54="","",ปลายภาค!M54)</f>
        <v/>
      </c>
      <c r="BT51" t="str">
        <f>IF(กลางภาค!N54="","",กลางภาค!N54)</f>
        <v/>
      </c>
      <c r="BU51" t="str">
        <f>IF(ปลายภาค!N54="","",ปลายภาค!N54)</f>
        <v/>
      </c>
      <c r="BV51" t="str">
        <f>IF(คุณลักษณะอันพึงประสงค์!X54="","",คุณลักษณะอันพึงประสงค์!X54)</f>
        <v/>
      </c>
      <c r="BW51" t="str">
        <f>IF(อ่านคิดวิเคราะห์!I54="","",อ่านคิดวิเคราะห์!I54)</f>
        <v/>
      </c>
      <c r="BX51" t="str">
        <f>IF(สมรรถนะ!N54="","",สมรรถนะ!N54)</f>
        <v/>
      </c>
      <c r="BY51" t="str">
        <f>IF(อ่านคิดวิเคราะห์!D54="","",อ่านคิดวิเคราะห์!D54)</f>
        <v/>
      </c>
      <c r="BZ51" t="str">
        <f>IF(อ่านคิดวิเคราะห์!E54="","",อ่านคิดวิเคราะห์!E54)</f>
        <v/>
      </c>
      <c r="CA51" t="str">
        <f>IF(อ่านคิดวิเคราะห์!F54="","",อ่านคิดวิเคราะห์!F54)</f>
        <v/>
      </c>
      <c r="CB51" t="str">
        <f>IF(อ่านคิดวิเคราะห์!G54="","",อ่านคิดวิเคราะห์!G54)</f>
        <v/>
      </c>
      <c r="CC51" t="str">
        <f>IF(อ่านคิดวิเคราะห์!H54="","",อ่านคิดวิเคราะห์!H54)</f>
        <v/>
      </c>
      <c r="CD51" t="str">
        <f>IF(สมรรถนะ!D54="","",สมรรถนะ!D54)</f>
        <v/>
      </c>
      <c r="CE51" t="str">
        <f>IF(สมรรถนะ!E54="","",สมรรถนะ!E54)</f>
        <v/>
      </c>
      <c r="CF51" t="str">
        <f>IF(สมรรถนะ!F54="","",สมรรถนะ!F54)</f>
        <v/>
      </c>
      <c r="CG51" t="str">
        <f>IF(สมรรถนะ!G54="","",สมรรถนะ!G54)</f>
        <v/>
      </c>
      <c r="CH51" t="str">
        <f>IF(สมรรถนะ!H54="","",สมรรถนะ!H54)</f>
        <v/>
      </c>
      <c r="CI51" t="str">
        <f>IF(สมรรถนะ!I54="","",สมรรถนะ!I54)</f>
        <v/>
      </c>
      <c r="CJ51" t="str">
        <f>IF(สมรรถนะ!J54="","",สมรรถนะ!J54)</f>
        <v/>
      </c>
      <c r="CK51" t="str">
        <f>IF(สมรรถนะ!K54="","",สมรรถนะ!K54)</f>
        <v/>
      </c>
      <c r="CL51" t="str">
        <f>IF(สมรรถนะ!L54="","",สมรรถนะ!L54)</f>
        <v/>
      </c>
      <c r="CM51" t="str">
        <f>IF(สมรรถนะ!M54="","",สมรรถนะ!M54)</f>
        <v/>
      </c>
      <c r="CN51" t="str">
        <f>IF(คุณลักษณะอันพึงประสงค์!N54="","",คุณลักษณะอันพึงประสงค์!N54)</f>
        <v/>
      </c>
      <c r="CO51" t="str">
        <f>IF(คุณลักษณะอันพึงประสงค์!O54="","",คุณลักษณะอันพึงประสงค์!O54)</f>
        <v/>
      </c>
      <c r="CP51" t="str">
        <f>IF(คุณลักษณะอันพึงประสงค์!P54="","",คุณลักษณะอันพึงประสงค์!P54)</f>
        <v/>
      </c>
      <c r="CQ51" t="str">
        <f>IF(คุณลักษณะอันพึงประสงค์!Q54="","",คุณลักษณะอันพึงประสงค์!Q54)</f>
        <v/>
      </c>
      <c r="CR51" t="str">
        <f>IF(คุณลักษณะอันพึงประสงค์!R54="","",คุณลักษณะอันพึงประสงค์!R54)</f>
        <v/>
      </c>
      <c r="CS51" t="str">
        <f>IF(คุณลักษณะอันพึงประสงค์!S54="","",คุณลักษณะอันพึงประสงค์!S54)</f>
        <v/>
      </c>
      <c r="CT51" t="str">
        <f>IF(คุณลักษณะอันพึงประสงค์!T54="","",คุณลักษณะอันพึงประสงค์!T54)</f>
        <v/>
      </c>
      <c r="CU51" t="str">
        <f>IF(คุณลักษณะอันพึงประสงค์!U54="","",คุณลักษณะอันพึงประสงค์!U54)</f>
        <v/>
      </c>
      <c r="CV51" t="str">
        <f>IF(คุณลักษณะอันพึงประสงค์!V54="","",คุณลักษณะอันพึงประสงค์!V54)</f>
        <v/>
      </c>
      <c r="CW51" t="str">
        <f>IF(คุณลักษณะอันพึงประสงค์!W54="","",คุณลักษณะอันพึงประสงค์!W54)</f>
        <v/>
      </c>
    </row>
    <row r="52" spans="1:101">
      <c r="A52" t="str">
        <f>IF(คะแนนเก็บ!B55="","",คะแนนเก็บ!B55)</f>
        <v/>
      </c>
      <c r="B52" t="str">
        <f>IF(คะแนนเก็บ!D55="","",คะแนนเก็บ!D55)</f>
        <v/>
      </c>
      <c r="C52" t="str">
        <f>IF(คะแนนเก็บ!E55="","",คะแนนเก็บ!E55)</f>
        <v/>
      </c>
      <c r="D52" t="str">
        <f>IF(คะแนนเก็บ!F55="","",คะแนนเก็บ!F55)</f>
        <v/>
      </c>
      <c r="E52" t="str">
        <f>IF(คะแนนเก็บ!G55="","",คะแนนเก็บ!G55)</f>
        <v/>
      </c>
      <c r="F52" t="str">
        <f>IF(คะแนนเก็บ!H55="","",คะแนนเก็บ!H55)</f>
        <v/>
      </c>
      <c r="G52" t="str">
        <f>IF(คะแนนเก็บ!I55="","",คะแนนเก็บ!I55)</f>
        <v/>
      </c>
      <c r="H52" t="str">
        <f>IF(คะแนนเก็บ!J55="","",คะแนนเก็บ!J55)</f>
        <v/>
      </c>
      <c r="I52" t="str">
        <f>IF(คะแนนเก็บ!K55="","",คะแนนเก็บ!K55)</f>
        <v/>
      </c>
      <c r="J52" t="str">
        <f>IF(คะแนนเก็บ!L55="","",คะแนนเก็บ!L55)</f>
        <v/>
      </c>
      <c r="K52" t="str">
        <f>IF(คะแนนเก็บ!M55="","",คะแนนเก็บ!M55)</f>
        <v/>
      </c>
      <c r="L52" t="str">
        <f>IF(คะแนนเก็บ!N55="","",คะแนนเก็บ!N55)</f>
        <v/>
      </c>
      <c r="M52" t="str">
        <f>IF(คะแนนเก็บ!O55="","",คะแนนเก็บ!O55)</f>
        <v/>
      </c>
      <c r="N52" t="str">
        <f>IF(คะแนนเก็บ!P55="","",คะแนนเก็บ!P55)</f>
        <v/>
      </c>
      <c r="O52" t="str">
        <f>IF(คะแนนเก็บ!Q55="","",คะแนนเก็บ!Q55)</f>
        <v/>
      </c>
      <c r="P52" t="str">
        <f>IF(คะแนนเก็บ!R55="","",คะแนนเก็บ!R55)</f>
        <v/>
      </c>
      <c r="Q52" t="str">
        <f>IF(คะแนนเก็บ!S55="","",คะแนนเก็บ!S55)</f>
        <v/>
      </c>
      <c r="R52" t="str">
        <f>IF(คะแนนเก็บ!T55="","",คะแนนเก็บ!T55)</f>
        <v/>
      </c>
      <c r="S52" t="str">
        <f>IF(คะแนนเก็บ!U55="","",คะแนนเก็บ!U55)</f>
        <v/>
      </c>
      <c r="T52" t="str">
        <f>IF(คะแนนเก็บ!V55="","",คะแนนเก็บ!V55)</f>
        <v/>
      </c>
      <c r="U52" t="str">
        <f>IF(คะแนนเก็บ!W55="","",คะแนนเก็บ!W55)</f>
        <v/>
      </c>
      <c r="V52" t="str">
        <f>IF(คะแนนเก็บหลังกลางภาค!D55="","",คะแนนเก็บหลังกลางภาค!D55)</f>
        <v/>
      </c>
      <c r="W52" t="str">
        <f>IF(คะแนนเก็บหลังกลางภาค!E55="","",คะแนนเก็บหลังกลางภาค!E55)</f>
        <v/>
      </c>
      <c r="X52" t="str">
        <f>IF(คะแนนเก็บหลังกลางภาค!F55="","",คะแนนเก็บหลังกลางภาค!F55)</f>
        <v/>
      </c>
      <c r="Y52" t="str">
        <f>IF(คะแนนเก็บหลังกลางภาค!G55="","",คะแนนเก็บหลังกลางภาค!G55)</f>
        <v/>
      </c>
      <c r="Z52" t="str">
        <f>IF(คะแนนเก็บหลังกลางภาค!H55="","",คะแนนเก็บหลังกลางภาค!H55)</f>
        <v/>
      </c>
      <c r="AA52" t="str">
        <f>IF(คะแนนเก็บหลังกลางภาค!I55="","",คะแนนเก็บหลังกลางภาค!I55)</f>
        <v/>
      </c>
      <c r="AB52" t="str">
        <f>IF(คะแนนเก็บหลังกลางภาค!J55="","",คะแนนเก็บหลังกลางภาค!J55)</f>
        <v/>
      </c>
      <c r="AC52" t="str">
        <f>IF(คะแนนเก็บหลังกลางภาค!K55="","",คะแนนเก็บหลังกลางภาค!K55)</f>
        <v/>
      </c>
      <c r="AD52" t="str">
        <f>IF(คะแนนเก็บหลังกลางภาค!L55="","",คะแนนเก็บหลังกลางภาค!L55)</f>
        <v/>
      </c>
      <c r="AE52" t="str">
        <f>IF(คะแนนเก็บหลังกลางภาค!M55="","",คะแนนเก็บหลังกลางภาค!M55)</f>
        <v/>
      </c>
      <c r="AF52" t="str">
        <f>IF(คะแนนเก็บหลังกลางภาค!N55="","",คะแนนเก็บหลังกลางภาค!N55)</f>
        <v/>
      </c>
      <c r="AG52" t="str">
        <f>IF(คะแนนเก็บหลังกลางภาค!O55="","",คะแนนเก็บหลังกลางภาค!O55)</f>
        <v/>
      </c>
      <c r="AH52" t="str">
        <f>IF(คะแนนเก็บหลังกลางภาค!P55="","",คะแนนเก็บหลังกลางภาค!P55)</f>
        <v/>
      </c>
      <c r="AI52" t="str">
        <f>IF(คะแนนเก็บหลังกลางภาค!Q55="","",คะแนนเก็บหลังกลางภาค!Q55)</f>
        <v/>
      </c>
      <c r="AJ52" t="str">
        <f>IF(คะแนนเก็บหลังกลางภาค!R55="","",คะแนนเก็บหลังกลางภาค!R55)</f>
        <v/>
      </c>
      <c r="AK52" t="str">
        <f>IF(คะแนนเก็บหลังกลางภาค!S55="","",คะแนนเก็บหลังกลางภาค!S55)</f>
        <v/>
      </c>
      <c r="AL52" t="str">
        <f>IF(คะแนนเก็บหลังกลางภาค!T55="","",คะแนนเก็บหลังกลางภาค!T55)</f>
        <v/>
      </c>
      <c r="AM52" t="str">
        <f>IF(คะแนนเก็บหลังกลางภาค!U55="","",คะแนนเก็บหลังกลางภาค!U55)</f>
        <v/>
      </c>
      <c r="AN52" t="str">
        <f>IF(คะแนนเก็บหลังกลางภาค!V55="","",คะแนนเก็บหลังกลางภาค!V55)</f>
        <v/>
      </c>
      <c r="AO52" t="str">
        <f>IF(คะแนนเก็บหลังกลางภาค!W55="","",คะแนนเก็บหลังกลางภาค!W55)</f>
        <v/>
      </c>
      <c r="AP52" t="str">
        <f>IF(คุณลักษณะอันพึงประสงค์!D55="","",คุณลักษณะอันพึงประสงค์!D55)</f>
        <v/>
      </c>
      <c r="AQ52" t="str">
        <f>IF(คุณลักษณะอันพึงประสงค์!E55="","",คุณลักษณะอันพึงประสงค์!E55)</f>
        <v/>
      </c>
      <c r="AR52" t="str">
        <f>IF(คุณลักษณะอันพึงประสงค์!F55="","",คุณลักษณะอันพึงประสงค์!F55)</f>
        <v/>
      </c>
      <c r="AS52" t="str">
        <f>IF(คุณลักษณะอันพึงประสงค์!G55="","",คุณลักษณะอันพึงประสงค์!G55)</f>
        <v/>
      </c>
      <c r="AT52" t="str">
        <f>IF(คุณลักษณะอันพึงประสงค์!H55="","",คุณลักษณะอันพึงประสงค์!H55)</f>
        <v/>
      </c>
      <c r="AU52" t="str">
        <f>IF(คุณลักษณะอันพึงประสงค์!I55="","",คุณลักษณะอันพึงประสงค์!I55)</f>
        <v/>
      </c>
      <c r="AV52" t="str">
        <f>IF(คุณลักษณะอันพึงประสงค์!J55="","",คุณลักษณะอันพึงประสงค์!J55)</f>
        <v/>
      </c>
      <c r="AW52" t="str">
        <f>IF(คุณลักษณะอันพึงประสงค์!K55="","",คุณลักษณะอันพึงประสงค์!K55)</f>
        <v/>
      </c>
      <c r="AX52" t="str">
        <f>IF(คุณลักษณะอันพึงประสงค์!L55="","",คุณลักษณะอันพึงประสงค์!L55)</f>
        <v/>
      </c>
      <c r="AY52" t="str">
        <f>IF(คุณลักษณะอันพึงประสงค์!M55="","",คุณลักษณะอันพึงประสงค์!M55)</f>
        <v/>
      </c>
      <c r="AZ52" t="str">
        <f>IF(กลางภาค!D55="","",กลางภาค!D55)</f>
        <v/>
      </c>
      <c r="BA52" t="str">
        <f>IF(กลางภาค!E55="","",กลางภาค!E55)</f>
        <v/>
      </c>
      <c r="BB52" t="str">
        <f>IF(กลางภาค!F55="","",กลางภาค!F55)</f>
        <v/>
      </c>
      <c r="BC52" t="str">
        <f>IF(กลางภาค!G55="","",กลางภาค!G55)</f>
        <v/>
      </c>
      <c r="BD52" t="str">
        <f>IF(กลางภาค!H55="","",กลางภาค!H55)</f>
        <v/>
      </c>
      <c r="BE52" t="str">
        <f>IF(กลางภาค!I55="","",กลางภาค!I55)</f>
        <v/>
      </c>
      <c r="BF52" t="str">
        <f>IF(กลางภาค!J55="","",กลางภาค!J55)</f>
        <v/>
      </c>
      <c r="BG52" t="str">
        <f>IF(กลางภาค!K55="","",กลางภาค!K55)</f>
        <v/>
      </c>
      <c r="BH52" t="str">
        <f>IF(กลางภาค!L55="","",กลางภาค!L55)</f>
        <v/>
      </c>
      <c r="BI52" t="str">
        <f>IF(กลางภาค!M55="","",กลางภาค!M55)</f>
        <v/>
      </c>
      <c r="BJ52" t="str">
        <f>IF(ปลายภาค!D55="","",ปลายภาค!D55)</f>
        <v/>
      </c>
      <c r="BK52" t="str">
        <f>IF(ปลายภาค!E55="","",ปลายภาค!E55)</f>
        <v/>
      </c>
      <c r="BL52" t="str">
        <f>IF(ปลายภาค!F55="","",ปลายภาค!F55)</f>
        <v/>
      </c>
      <c r="BM52" t="str">
        <f>IF(ปลายภาค!G55="","",ปลายภาค!G55)</f>
        <v/>
      </c>
      <c r="BN52" t="str">
        <f>IF(ปลายภาค!H55="","",ปลายภาค!H55)</f>
        <v/>
      </c>
      <c r="BO52" t="str">
        <f>IF(ปลายภาค!I55="","",ปลายภาค!I55)</f>
        <v/>
      </c>
      <c r="BP52" t="str">
        <f>IF(ปลายภาค!J55="","",ปลายภาค!J55)</f>
        <v/>
      </c>
      <c r="BQ52" t="str">
        <f>IF(ปลายภาค!K55="","",ปลายภาค!K55)</f>
        <v/>
      </c>
      <c r="BR52" t="str">
        <f>IF(ปลายภาค!L55="","",ปลายภาค!L55)</f>
        <v/>
      </c>
      <c r="BS52" t="str">
        <f>IF(ปลายภาค!M55="","",ปลายภาค!M55)</f>
        <v/>
      </c>
      <c r="BT52" t="str">
        <f>IF(กลางภาค!N55="","",กลางภาค!N55)</f>
        <v/>
      </c>
      <c r="BU52" t="str">
        <f>IF(ปลายภาค!N55="","",ปลายภาค!N55)</f>
        <v/>
      </c>
      <c r="BV52" t="str">
        <f>IF(คุณลักษณะอันพึงประสงค์!X55="","",คุณลักษณะอันพึงประสงค์!X55)</f>
        <v/>
      </c>
      <c r="BW52" t="str">
        <f>IF(อ่านคิดวิเคราะห์!I55="","",อ่านคิดวิเคราะห์!I55)</f>
        <v/>
      </c>
      <c r="BX52" t="str">
        <f>IF(สมรรถนะ!N55="","",สมรรถนะ!N55)</f>
        <v/>
      </c>
      <c r="BY52" t="str">
        <f>IF(อ่านคิดวิเคราะห์!D55="","",อ่านคิดวิเคราะห์!D55)</f>
        <v/>
      </c>
      <c r="BZ52" t="str">
        <f>IF(อ่านคิดวิเคราะห์!E55="","",อ่านคิดวิเคราะห์!E55)</f>
        <v/>
      </c>
      <c r="CA52" t="str">
        <f>IF(อ่านคิดวิเคราะห์!F55="","",อ่านคิดวิเคราะห์!F55)</f>
        <v/>
      </c>
      <c r="CB52" t="str">
        <f>IF(อ่านคิดวิเคราะห์!G55="","",อ่านคิดวิเคราะห์!G55)</f>
        <v/>
      </c>
      <c r="CC52" t="str">
        <f>IF(อ่านคิดวิเคราะห์!H55="","",อ่านคิดวิเคราะห์!H55)</f>
        <v/>
      </c>
      <c r="CD52" t="str">
        <f>IF(สมรรถนะ!D55="","",สมรรถนะ!D55)</f>
        <v/>
      </c>
      <c r="CE52" t="str">
        <f>IF(สมรรถนะ!E55="","",สมรรถนะ!E55)</f>
        <v/>
      </c>
      <c r="CF52" t="str">
        <f>IF(สมรรถนะ!F55="","",สมรรถนะ!F55)</f>
        <v/>
      </c>
      <c r="CG52" t="str">
        <f>IF(สมรรถนะ!G55="","",สมรรถนะ!G55)</f>
        <v/>
      </c>
      <c r="CH52" t="str">
        <f>IF(สมรรถนะ!H55="","",สมรรถนะ!H55)</f>
        <v/>
      </c>
      <c r="CI52" t="str">
        <f>IF(สมรรถนะ!I55="","",สมรรถนะ!I55)</f>
        <v/>
      </c>
      <c r="CJ52" t="str">
        <f>IF(สมรรถนะ!J55="","",สมรรถนะ!J55)</f>
        <v/>
      </c>
      <c r="CK52" t="str">
        <f>IF(สมรรถนะ!K55="","",สมรรถนะ!K55)</f>
        <v/>
      </c>
      <c r="CL52" t="str">
        <f>IF(สมรรถนะ!L55="","",สมรรถนะ!L55)</f>
        <v/>
      </c>
      <c r="CM52" t="str">
        <f>IF(สมรรถนะ!M55="","",สมรรถนะ!M55)</f>
        <v/>
      </c>
      <c r="CN52" t="str">
        <f>IF(คุณลักษณะอันพึงประสงค์!N55="","",คุณลักษณะอันพึงประสงค์!N55)</f>
        <v/>
      </c>
      <c r="CO52" t="str">
        <f>IF(คุณลักษณะอันพึงประสงค์!O55="","",คุณลักษณะอันพึงประสงค์!O55)</f>
        <v/>
      </c>
      <c r="CP52" t="str">
        <f>IF(คุณลักษณะอันพึงประสงค์!P55="","",คุณลักษณะอันพึงประสงค์!P55)</f>
        <v/>
      </c>
      <c r="CQ52" t="str">
        <f>IF(คุณลักษณะอันพึงประสงค์!Q55="","",คุณลักษณะอันพึงประสงค์!Q55)</f>
        <v/>
      </c>
      <c r="CR52" t="str">
        <f>IF(คุณลักษณะอันพึงประสงค์!R55="","",คุณลักษณะอันพึงประสงค์!R55)</f>
        <v/>
      </c>
      <c r="CS52" t="str">
        <f>IF(คุณลักษณะอันพึงประสงค์!S55="","",คุณลักษณะอันพึงประสงค์!S55)</f>
        <v/>
      </c>
      <c r="CT52" t="str">
        <f>IF(คุณลักษณะอันพึงประสงค์!T55="","",คุณลักษณะอันพึงประสงค์!T55)</f>
        <v/>
      </c>
      <c r="CU52" t="str">
        <f>IF(คุณลักษณะอันพึงประสงค์!U55="","",คุณลักษณะอันพึงประสงค์!U55)</f>
        <v/>
      </c>
      <c r="CV52" t="str">
        <f>IF(คุณลักษณะอันพึงประสงค์!V55="","",คุณลักษณะอันพึงประสงค์!V55)</f>
        <v/>
      </c>
      <c r="CW52" t="str">
        <f>IF(คุณลักษณะอันพึงประสงค์!W55="","",คุณลักษณะอันพึงประสงค์!W55)</f>
        <v/>
      </c>
    </row>
    <row r="53" spans="1:101">
      <c r="A53" t="str">
        <f>IF(คะแนนเก็บ!B56="","",คะแนนเก็บ!B56)</f>
        <v/>
      </c>
      <c r="B53" t="str">
        <f>IF(คะแนนเก็บ!D56="","",คะแนนเก็บ!D56)</f>
        <v/>
      </c>
      <c r="C53" t="str">
        <f>IF(คะแนนเก็บ!E56="","",คะแนนเก็บ!E56)</f>
        <v/>
      </c>
      <c r="D53" t="str">
        <f>IF(คะแนนเก็บ!F56="","",คะแนนเก็บ!F56)</f>
        <v/>
      </c>
      <c r="E53" t="str">
        <f>IF(คะแนนเก็บ!G56="","",คะแนนเก็บ!G56)</f>
        <v/>
      </c>
      <c r="F53" t="str">
        <f>IF(คะแนนเก็บ!H56="","",คะแนนเก็บ!H56)</f>
        <v/>
      </c>
      <c r="G53" t="str">
        <f>IF(คะแนนเก็บ!I56="","",คะแนนเก็บ!I56)</f>
        <v/>
      </c>
      <c r="H53" t="str">
        <f>IF(คะแนนเก็บ!J56="","",คะแนนเก็บ!J56)</f>
        <v/>
      </c>
      <c r="I53" t="str">
        <f>IF(คะแนนเก็บ!K56="","",คะแนนเก็บ!K56)</f>
        <v/>
      </c>
      <c r="J53" t="str">
        <f>IF(คะแนนเก็บ!L56="","",คะแนนเก็บ!L56)</f>
        <v/>
      </c>
      <c r="K53" t="str">
        <f>IF(คะแนนเก็บ!M56="","",คะแนนเก็บ!M56)</f>
        <v/>
      </c>
      <c r="L53" t="str">
        <f>IF(คะแนนเก็บ!N56="","",คะแนนเก็บ!N56)</f>
        <v/>
      </c>
      <c r="M53" t="str">
        <f>IF(คะแนนเก็บ!O56="","",คะแนนเก็บ!O56)</f>
        <v/>
      </c>
      <c r="N53" t="str">
        <f>IF(คะแนนเก็บ!P56="","",คะแนนเก็บ!P56)</f>
        <v/>
      </c>
      <c r="O53" t="str">
        <f>IF(คะแนนเก็บ!Q56="","",คะแนนเก็บ!Q56)</f>
        <v/>
      </c>
      <c r="P53" t="str">
        <f>IF(คะแนนเก็บ!R56="","",คะแนนเก็บ!R56)</f>
        <v/>
      </c>
      <c r="Q53" t="str">
        <f>IF(คะแนนเก็บ!S56="","",คะแนนเก็บ!S56)</f>
        <v/>
      </c>
      <c r="R53" t="str">
        <f>IF(คะแนนเก็บ!T56="","",คะแนนเก็บ!T56)</f>
        <v/>
      </c>
      <c r="S53" t="str">
        <f>IF(คะแนนเก็บ!U56="","",คะแนนเก็บ!U56)</f>
        <v/>
      </c>
      <c r="T53" t="str">
        <f>IF(คะแนนเก็บ!V56="","",คะแนนเก็บ!V56)</f>
        <v/>
      </c>
      <c r="U53" t="str">
        <f>IF(คะแนนเก็บ!W56="","",คะแนนเก็บ!W56)</f>
        <v/>
      </c>
      <c r="V53" t="str">
        <f>IF(คะแนนเก็บหลังกลางภาค!D56="","",คะแนนเก็บหลังกลางภาค!D56)</f>
        <v/>
      </c>
      <c r="W53" t="str">
        <f>IF(คะแนนเก็บหลังกลางภาค!E56="","",คะแนนเก็บหลังกลางภาค!E56)</f>
        <v/>
      </c>
      <c r="X53" t="str">
        <f>IF(คะแนนเก็บหลังกลางภาค!F56="","",คะแนนเก็บหลังกลางภาค!F56)</f>
        <v/>
      </c>
      <c r="Y53" t="str">
        <f>IF(คะแนนเก็บหลังกลางภาค!G56="","",คะแนนเก็บหลังกลางภาค!G56)</f>
        <v/>
      </c>
      <c r="Z53" t="str">
        <f>IF(คะแนนเก็บหลังกลางภาค!H56="","",คะแนนเก็บหลังกลางภาค!H56)</f>
        <v/>
      </c>
      <c r="AA53" t="str">
        <f>IF(คะแนนเก็บหลังกลางภาค!I56="","",คะแนนเก็บหลังกลางภาค!I56)</f>
        <v/>
      </c>
      <c r="AB53" t="str">
        <f>IF(คะแนนเก็บหลังกลางภาค!J56="","",คะแนนเก็บหลังกลางภาค!J56)</f>
        <v/>
      </c>
      <c r="AC53" t="str">
        <f>IF(คะแนนเก็บหลังกลางภาค!K56="","",คะแนนเก็บหลังกลางภาค!K56)</f>
        <v/>
      </c>
      <c r="AD53" t="str">
        <f>IF(คะแนนเก็บหลังกลางภาค!L56="","",คะแนนเก็บหลังกลางภาค!L56)</f>
        <v/>
      </c>
      <c r="AE53" t="str">
        <f>IF(คะแนนเก็บหลังกลางภาค!M56="","",คะแนนเก็บหลังกลางภาค!M56)</f>
        <v/>
      </c>
      <c r="AF53" t="str">
        <f>IF(คะแนนเก็บหลังกลางภาค!N56="","",คะแนนเก็บหลังกลางภาค!N56)</f>
        <v/>
      </c>
      <c r="AG53" t="str">
        <f>IF(คะแนนเก็บหลังกลางภาค!O56="","",คะแนนเก็บหลังกลางภาค!O56)</f>
        <v/>
      </c>
      <c r="AH53" t="str">
        <f>IF(คะแนนเก็บหลังกลางภาค!P56="","",คะแนนเก็บหลังกลางภาค!P56)</f>
        <v/>
      </c>
      <c r="AI53" t="str">
        <f>IF(คะแนนเก็บหลังกลางภาค!Q56="","",คะแนนเก็บหลังกลางภาค!Q56)</f>
        <v/>
      </c>
      <c r="AJ53" t="str">
        <f>IF(คะแนนเก็บหลังกลางภาค!R56="","",คะแนนเก็บหลังกลางภาค!R56)</f>
        <v/>
      </c>
      <c r="AK53" t="str">
        <f>IF(คะแนนเก็บหลังกลางภาค!S56="","",คะแนนเก็บหลังกลางภาค!S56)</f>
        <v/>
      </c>
      <c r="AL53" t="str">
        <f>IF(คะแนนเก็บหลังกลางภาค!T56="","",คะแนนเก็บหลังกลางภาค!T56)</f>
        <v/>
      </c>
      <c r="AM53" t="str">
        <f>IF(คะแนนเก็บหลังกลางภาค!U56="","",คะแนนเก็บหลังกลางภาค!U56)</f>
        <v/>
      </c>
      <c r="AN53" t="str">
        <f>IF(คะแนนเก็บหลังกลางภาค!V56="","",คะแนนเก็บหลังกลางภาค!V56)</f>
        <v/>
      </c>
      <c r="AO53" t="str">
        <f>IF(คะแนนเก็บหลังกลางภาค!W56="","",คะแนนเก็บหลังกลางภาค!W56)</f>
        <v/>
      </c>
      <c r="AP53" t="str">
        <f>IF(คุณลักษณะอันพึงประสงค์!D56="","",คุณลักษณะอันพึงประสงค์!D56)</f>
        <v/>
      </c>
      <c r="AQ53" t="str">
        <f>IF(คุณลักษณะอันพึงประสงค์!E56="","",คุณลักษณะอันพึงประสงค์!E56)</f>
        <v/>
      </c>
      <c r="AR53" t="str">
        <f>IF(คุณลักษณะอันพึงประสงค์!F56="","",คุณลักษณะอันพึงประสงค์!F56)</f>
        <v/>
      </c>
      <c r="AS53" t="str">
        <f>IF(คุณลักษณะอันพึงประสงค์!G56="","",คุณลักษณะอันพึงประสงค์!G56)</f>
        <v/>
      </c>
      <c r="AT53" t="str">
        <f>IF(คุณลักษณะอันพึงประสงค์!H56="","",คุณลักษณะอันพึงประสงค์!H56)</f>
        <v/>
      </c>
      <c r="AU53" t="str">
        <f>IF(คุณลักษณะอันพึงประสงค์!I56="","",คุณลักษณะอันพึงประสงค์!I56)</f>
        <v/>
      </c>
      <c r="AV53" t="str">
        <f>IF(คุณลักษณะอันพึงประสงค์!J56="","",คุณลักษณะอันพึงประสงค์!J56)</f>
        <v/>
      </c>
      <c r="AW53" t="str">
        <f>IF(คุณลักษณะอันพึงประสงค์!K56="","",คุณลักษณะอันพึงประสงค์!K56)</f>
        <v/>
      </c>
      <c r="AX53" t="str">
        <f>IF(คุณลักษณะอันพึงประสงค์!L56="","",คุณลักษณะอันพึงประสงค์!L56)</f>
        <v/>
      </c>
      <c r="AY53" t="str">
        <f>IF(คุณลักษณะอันพึงประสงค์!M56="","",คุณลักษณะอันพึงประสงค์!M56)</f>
        <v/>
      </c>
      <c r="AZ53" t="str">
        <f>IF(กลางภาค!D56="","",กลางภาค!D56)</f>
        <v/>
      </c>
      <c r="BA53" t="str">
        <f>IF(กลางภาค!E56="","",กลางภาค!E56)</f>
        <v/>
      </c>
      <c r="BB53" t="str">
        <f>IF(กลางภาค!F56="","",กลางภาค!F56)</f>
        <v/>
      </c>
      <c r="BC53" t="str">
        <f>IF(กลางภาค!G56="","",กลางภาค!G56)</f>
        <v/>
      </c>
      <c r="BD53" t="str">
        <f>IF(กลางภาค!H56="","",กลางภาค!H56)</f>
        <v/>
      </c>
      <c r="BE53" t="str">
        <f>IF(กลางภาค!I56="","",กลางภาค!I56)</f>
        <v/>
      </c>
      <c r="BF53" t="str">
        <f>IF(กลางภาค!J56="","",กลางภาค!J56)</f>
        <v/>
      </c>
      <c r="BG53" t="str">
        <f>IF(กลางภาค!K56="","",กลางภาค!K56)</f>
        <v/>
      </c>
      <c r="BH53" t="str">
        <f>IF(กลางภาค!L56="","",กลางภาค!L56)</f>
        <v/>
      </c>
      <c r="BI53" t="str">
        <f>IF(กลางภาค!M56="","",กลางภาค!M56)</f>
        <v/>
      </c>
      <c r="BJ53" t="str">
        <f>IF(ปลายภาค!D56="","",ปลายภาค!D56)</f>
        <v/>
      </c>
      <c r="BK53" t="str">
        <f>IF(ปลายภาค!E56="","",ปลายภาค!E56)</f>
        <v/>
      </c>
      <c r="BL53" t="str">
        <f>IF(ปลายภาค!F56="","",ปลายภาค!F56)</f>
        <v/>
      </c>
      <c r="BM53" t="str">
        <f>IF(ปลายภาค!G56="","",ปลายภาค!G56)</f>
        <v/>
      </c>
      <c r="BN53" t="str">
        <f>IF(ปลายภาค!H56="","",ปลายภาค!H56)</f>
        <v/>
      </c>
      <c r="BO53" t="str">
        <f>IF(ปลายภาค!I56="","",ปลายภาค!I56)</f>
        <v/>
      </c>
      <c r="BP53" t="str">
        <f>IF(ปลายภาค!J56="","",ปลายภาค!J56)</f>
        <v/>
      </c>
      <c r="BQ53" t="str">
        <f>IF(ปลายภาค!K56="","",ปลายภาค!K56)</f>
        <v/>
      </c>
      <c r="BR53" t="str">
        <f>IF(ปลายภาค!L56="","",ปลายภาค!L56)</f>
        <v/>
      </c>
      <c r="BS53" t="str">
        <f>IF(ปลายภาค!M56="","",ปลายภาค!M56)</f>
        <v/>
      </c>
      <c r="BT53" t="str">
        <f>IF(กลางภาค!N56="","",กลางภาค!N56)</f>
        <v/>
      </c>
      <c r="BU53" t="str">
        <f>IF(ปลายภาค!N56="","",ปลายภาค!N56)</f>
        <v/>
      </c>
      <c r="BV53" t="str">
        <f>IF(คุณลักษณะอันพึงประสงค์!X56="","",คุณลักษณะอันพึงประสงค์!X56)</f>
        <v/>
      </c>
      <c r="BW53" t="str">
        <f>IF(อ่านคิดวิเคราะห์!I56="","",อ่านคิดวิเคราะห์!I56)</f>
        <v/>
      </c>
      <c r="BX53" t="str">
        <f>IF(สมรรถนะ!N56="","",สมรรถนะ!N56)</f>
        <v/>
      </c>
      <c r="BY53" t="str">
        <f>IF(อ่านคิดวิเคราะห์!D56="","",อ่านคิดวิเคราะห์!D56)</f>
        <v/>
      </c>
      <c r="BZ53" t="str">
        <f>IF(อ่านคิดวิเคราะห์!E56="","",อ่านคิดวิเคราะห์!E56)</f>
        <v/>
      </c>
      <c r="CA53" t="str">
        <f>IF(อ่านคิดวิเคราะห์!F56="","",อ่านคิดวิเคราะห์!F56)</f>
        <v/>
      </c>
      <c r="CB53" t="str">
        <f>IF(อ่านคิดวิเคราะห์!G56="","",อ่านคิดวิเคราะห์!G56)</f>
        <v/>
      </c>
      <c r="CC53" t="str">
        <f>IF(อ่านคิดวิเคราะห์!H56="","",อ่านคิดวิเคราะห์!H56)</f>
        <v/>
      </c>
      <c r="CD53" t="str">
        <f>IF(สมรรถนะ!D56="","",สมรรถนะ!D56)</f>
        <v/>
      </c>
      <c r="CE53" t="str">
        <f>IF(สมรรถนะ!E56="","",สมรรถนะ!E56)</f>
        <v/>
      </c>
      <c r="CF53" t="str">
        <f>IF(สมรรถนะ!F56="","",สมรรถนะ!F56)</f>
        <v/>
      </c>
      <c r="CG53" t="str">
        <f>IF(สมรรถนะ!G56="","",สมรรถนะ!G56)</f>
        <v/>
      </c>
      <c r="CH53" t="str">
        <f>IF(สมรรถนะ!H56="","",สมรรถนะ!H56)</f>
        <v/>
      </c>
      <c r="CI53" t="str">
        <f>IF(สมรรถนะ!I56="","",สมรรถนะ!I56)</f>
        <v/>
      </c>
      <c r="CJ53" t="str">
        <f>IF(สมรรถนะ!J56="","",สมรรถนะ!J56)</f>
        <v/>
      </c>
      <c r="CK53" t="str">
        <f>IF(สมรรถนะ!K56="","",สมรรถนะ!K56)</f>
        <v/>
      </c>
      <c r="CL53" t="str">
        <f>IF(สมรรถนะ!L56="","",สมรรถนะ!L56)</f>
        <v/>
      </c>
      <c r="CM53" t="str">
        <f>IF(สมรรถนะ!M56="","",สมรรถนะ!M56)</f>
        <v/>
      </c>
      <c r="CN53" t="str">
        <f>IF(คุณลักษณะอันพึงประสงค์!N56="","",คุณลักษณะอันพึงประสงค์!N56)</f>
        <v/>
      </c>
      <c r="CO53" t="str">
        <f>IF(คุณลักษณะอันพึงประสงค์!O56="","",คุณลักษณะอันพึงประสงค์!O56)</f>
        <v/>
      </c>
      <c r="CP53" t="str">
        <f>IF(คุณลักษณะอันพึงประสงค์!P56="","",คุณลักษณะอันพึงประสงค์!P56)</f>
        <v/>
      </c>
      <c r="CQ53" t="str">
        <f>IF(คุณลักษณะอันพึงประสงค์!Q56="","",คุณลักษณะอันพึงประสงค์!Q56)</f>
        <v/>
      </c>
      <c r="CR53" t="str">
        <f>IF(คุณลักษณะอันพึงประสงค์!R56="","",คุณลักษณะอันพึงประสงค์!R56)</f>
        <v/>
      </c>
      <c r="CS53" t="str">
        <f>IF(คุณลักษณะอันพึงประสงค์!S56="","",คุณลักษณะอันพึงประสงค์!S56)</f>
        <v/>
      </c>
      <c r="CT53" t="str">
        <f>IF(คุณลักษณะอันพึงประสงค์!T56="","",คุณลักษณะอันพึงประสงค์!T56)</f>
        <v/>
      </c>
      <c r="CU53" t="str">
        <f>IF(คุณลักษณะอันพึงประสงค์!U56="","",คุณลักษณะอันพึงประสงค์!U56)</f>
        <v/>
      </c>
      <c r="CV53" t="str">
        <f>IF(คุณลักษณะอันพึงประสงค์!V56="","",คุณลักษณะอันพึงประสงค์!V56)</f>
        <v/>
      </c>
      <c r="CW53" t="str">
        <f>IF(คุณลักษณะอันพึงประสงค์!W56="","",คุณลักษณะอันพึงประสงค์!W56)</f>
        <v/>
      </c>
    </row>
    <row r="54" spans="1:101">
      <c r="A54" t="str">
        <f>IF(คะแนนเก็บ!B57="","",คะแนนเก็บ!B57)</f>
        <v/>
      </c>
      <c r="B54" t="str">
        <f>IF(คะแนนเก็บ!D57="","",คะแนนเก็บ!D57)</f>
        <v/>
      </c>
      <c r="C54" t="str">
        <f>IF(คะแนนเก็บ!E57="","",คะแนนเก็บ!E57)</f>
        <v/>
      </c>
      <c r="D54" t="str">
        <f>IF(คะแนนเก็บ!F57="","",คะแนนเก็บ!F57)</f>
        <v/>
      </c>
      <c r="E54" t="str">
        <f>IF(คะแนนเก็บ!G57="","",คะแนนเก็บ!G57)</f>
        <v/>
      </c>
      <c r="F54" t="str">
        <f>IF(คะแนนเก็บ!H57="","",คะแนนเก็บ!H57)</f>
        <v/>
      </c>
      <c r="G54" t="str">
        <f>IF(คะแนนเก็บ!I57="","",คะแนนเก็บ!I57)</f>
        <v/>
      </c>
      <c r="H54" t="str">
        <f>IF(คะแนนเก็บ!J57="","",คะแนนเก็บ!J57)</f>
        <v/>
      </c>
      <c r="I54" t="str">
        <f>IF(คะแนนเก็บ!K57="","",คะแนนเก็บ!K57)</f>
        <v/>
      </c>
      <c r="J54" t="str">
        <f>IF(คะแนนเก็บ!L57="","",คะแนนเก็บ!L57)</f>
        <v/>
      </c>
      <c r="K54" t="str">
        <f>IF(คะแนนเก็บ!M57="","",คะแนนเก็บ!M57)</f>
        <v/>
      </c>
      <c r="L54" t="str">
        <f>IF(คะแนนเก็บ!N57="","",คะแนนเก็บ!N57)</f>
        <v/>
      </c>
      <c r="M54" t="str">
        <f>IF(คะแนนเก็บ!O57="","",คะแนนเก็บ!O57)</f>
        <v/>
      </c>
      <c r="N54" t="str">
        <f>IF(คะแนนเก็บ!P57="","",คะแนนเก็บ!P57)</f>
        <v/>
      </c>
      <c r="O54" t="str">
        <f>IF(คะแนนเก็บ!Q57="","",คะแนนเก็บ!Q57)</f>
        <v/>
      </c>
      <c r="P54" t="str">
        <f>IF(คะแนนเก็บ!R57="","",คะแนนเก็บ!R57)</f>
        <v/>
      </c>
      <c r="Q54" t="str">
        <f>IF(คะแนนเก็บ!S57="","",คะแนนเก็บ!S57)</f>
        <v/>
      </c>
      <c r="R54" t="str">
        <f>IF(คะแนนเก็บ!T57="","",คะแนนเก็บ!T57)</f>
        <v/>
      </c>
      <c r="S54" t="str">
        <f>IF(คะแนนเก็บ!U57="","",คะแนนเก็บ!U57)</f>
        <v/>
      </c>
      <c r="T54" t="str">
        <f>IF(คะแนนเก็บ!V57="","",คะแนนเก็บ!V57)</f>
        <v/>
      </c>
      <c r="U54" t="str">
        <f>IF(คะแนนเก็บ!W57="","",คะแนนเก็บ!W57)</f>
        <v/>
      </c>
      <c r="V54" t="str">
        <f>IF(คะแนนเก็บหลังกลางภาค!D57="","",คะแนนเก็บหลังกลางภาค!D57)</f>
        <v/>
      </c>
      <c r="W54" t="str">
        <f>IF(คะแนนเก็บหลังกลางภาค!E57="","",คะแนนเก็บหลังกลางภาค!E57)</f>
        <v/>
      </c>
      <c r="X54" t="str">
        <f>IF(คะแนนเก็บหลังกลางภาค!F57="","",คะแนนเก็บหลังกลางภาค!F57)</f>
        <v/>
      </c>
      <c r="Y54" t="str">
        <f>IF(คะแนนเก็บหลังกลางภาค!G57="","",คะแนนเก็บหลังกลางภาค!G57)</f>
        <v/>
      </c>
      <c r="Z54" t="str">
        <f>IF(คะแนนเก็บหลังกลางภาค!H57="","",คะแนนเก็บหลังกลางภาค!H57)</f>
        <v/>
      </c>
      <c r="AA54" t="str">
        <f>IF(คะแนนเก็บหลังกลางภาค!I57="","",คะแนนเก็บหลังกลางภาค!I57)</f>
        <v/>
      </c>
      <c r="AB54" t="str">
        <f>IF(คะแนนเก็บหลังกลางภาค!J57="","",คะแนนเก็บหลังกลางภาค!J57)</f>
        <v/>
      </c>
      <c r="AC54" t="str">
        <f>IF(คะแนนเก็บหลังกลางภาค!K57="","",คะแนนเก็บหลังกลางภาค!K57)</f>
        <v/>
      </c>
      <c r="AD54" t="str">
        <f>IF(คะแนนเก็บหลังกลางภาค!L57="","",คะแนนเก็บหลังกลางภาค!L57)</f>
        <v/>
      </c>
      <c r="AE54" t="str">
        <f>IF(คะแนนเก็บหลังกลางภาค!M57="","",คะแนนเก็บหลังกลางภาค!M57)</f>
        <v/>
      </c>
      <c r="AF54" t="str">
        <f>IF(คะแนนเก็บหลังกลางภาค!N57="","",คะแนนเก็บหลังกลางภาค!N57)</f>
        <v/>
      </c>
      <c r="AG54" t="str">
        <f>IF(คะแนนเก็บหลังกลางภาค!O57="","",คะแนนเก็บหลังกลางภาค!O57)</f>
        <v/>
      </c>
      <c r="AH54" t="str">
        <f>IF(คะแนนเก็บหลังกลางภาค!P57="","",คะแนนเก็บหลังกลางภาค!P57)</f>
        <v/>
      </c>
      <c r="AI54" t="str">
        <f>IF(คะแนนเก็บหลังกลางภาค!Q57="","",คะแนนเก็บหลังกลางภาค!Q57)</f>
        <v/>
      </c>
      <c r="AJ54" t="str">
        <f>IF(คะแนนเก็บหลังกลางภาค!R57="","",คะแนนเก็บหลังกลางภาค!R57)</f>
        <v/>
      </c>
      <c r="AK54" t="str">
        <f>IF(คะแนนเก็บหลังกลางภาค!S57="","",คะแนนเก็บหลังกลางภาค!S57)</f>
        <v/>
      </c>
      <c r="AL54" t="str">
        <f>IF(คะแนนเก็บหลังกลางภาค!T57="","",คะแนนเก็บหลังกลางภาค!T57)</f>
        <v/>
      </c>
      <c r="AM54" t="str">
        <f>IF(คะแนนเก็บหลังกลางภาค!U57="","",คะแนนเก็บหลังกลางภาค!U57)</f>
        <v/>
      </c>
      <c r="AN54" t="str">
        <f>IF(คะแนนเก็บหลังกลางภาค!V57="","",คะแนนเก็บหลังกลางภาค!V57)</f>
        <v/>
      </c>
      <c r="AO54" t="str">
        <f>IF(คะแนนเก็บหลังกลางภาค!W57="","",คะแนนเก็บหลังกลางภาค!W57)</f>
        <v/>
      </c>
      <c r="AP54" t="str">
        <f>IF(คุณลักษณะอันพึงประสงค์!D57="","",คุณลักษณะอันพึงประสงค์!D57)</f>
        <v/>
      </c>
      <c r="AQ54" t="str">
        <f>IF(คุณลักษณะอันพึงประสงค์!E57="","",คุณลักษณะอันพึงประสงค์!E57)</f>
        <v/>
      </c>
      <c r="AR54" t="str">
        <f>IF(คุณลักษณะอันพึงประสงค์!F57="","",คุณลักษณะอันพึงประสงค์!F57)</f>
        <v/>
      </c>
      <c r="AS54" t="str">
        <f>IF(คุณลักษณะอันพึงประสงค์!G57="","",คุณลักษณะอันพึงประสงค์!G57)</f>
        <v/>
      </c>
      <c r="AT54" t="str">
        <f>IF(คุณลักษณะอันพึงประสงค์!H57="","",คุณลักษณะอันพึงประสงค์!H57)</f>
        <v/>
      </c>
      <c r="AU54" t="str">
        <f>IF(คุณลักษณะอันพึงประสงค์!I57="","",คุณลักษณะอันพึงประสงค์!I57)</f>
        <v/>
      </c>
      <c r="AV54" t="str">
        <f>IF(คุณลักษณะอันพึงประสงค์!J57="","",คุณลักษณะอันพึงประสงค์!J57)</f>
        <v/>
      </c>
      <c r="AW54" t="str">
        <f>IF(คุณลักษณะอันพึงประสงค์!K57="","",คุณลักษณะอันพึงประสงค์!K57)</f>
        <v/>
      </c>
      <c r="AX54" t="str">
        <f>IF(คุณลักษณะอันพึงประสงค์!L57="","",คุณลักษณะอันพึงประสงค์!L57)</f>
        <v/>
      </c>
      <c r="AY54" t="str">
        <f>IF(คุณลักษณะอันพึงประสงค์!M57="","",คุณลักษณะอันพึงประสงค์!M57)</f>
        <v/>
      </c>
      <c r="AZ54" t="str">
        <f>IF(กลางภาค!D57="","",กลางภาค!D57)</f>
        <v/>
      </c>
      <c r="BA54" t="str">
        <f>IF(กลางภาค!E57="","",กลางภาค!E57)</f>
        <v/>
      </c>
      <c r="BB54" t="str">
        <f>IF(กลางภาค!F57="","",กลางภาค!F57)</f>
        <v/>
      </c>
      <c r="BC54" t="str">
        <f>IF(กลางภาค!G57="","",กลางภาค!G57)</f>
        <v/>
      </c>
      <c r="BD54" t="str">
        <f>IF(กลางภาค!H57="","",กลางภาค!H57)</f>
        <v/>
      </c>
      <c r="BE54" t="str">
        <f>IF(กลางภาค!I57="","",กลางภาค!I57)</f>
        <v/>
      </c>
      <c r="BF54" t="str">
        <f>IF(กลางภาค!J57="","",กลางภาค!J57)</f>
        <v/>
      </c>
      <c r="BG54" t="str">
        <f>IF(กลางภาค!K57="","",กลางภาค!K57)</f>
        <v/>
      </c>
      <c r="BH54" t="str">
        <f>IF(กลางภาค!L57="","",กลางภาค!L57)</f>
        <v/>
      </c>
      <c r="BI54" t="str">
        <f>IF(กลางภาค!M57="","",กลางภาค!M57)</f>
        <v/>
      </c>
      <c r="BJ54" t="str">
        <f>IF(ปลายภาค!D57="","",ปลายภาค!D57)</f>
        <v/>
      </c>
      <c r="BK54" t="str">
        <f>IF(ปลายภาค!E57="","",ปลายภาค!E57)</f>
        <v/>
      </c>
      <c r="BL54" t="str">
        <f>IF(ปลายภาค!F57="","",ปลายภาค!F57)</f>
        <v/>
      </c>
      <c r="BM54" t="str">
        <f>IF(ปลายภาค!G57="","",ปลายภาค!G57)</f>
        <v/>
      </c>
      <c r="BN54" t="str">
        <f>IF(ปลายภาค!H57="","",ปลายภาค!H57)</f>
        <v/>
      </c>
      <c r="BO54" t="str">
        <f>IF(ปลายภาค!I57="","",ปลายภาค!I57)</f>
        <v/>
      </c>
      <c r="BP54" t="str">
        <f>IF(ปลายภาค!J57="","",ปลายภาค!J57)</f>
        <v/>
      </c>
      <c r="BQ54" t="str">
        <f>IF(ปลายภาค!K57="","",ปลายภาค!K57)</f>
        <v/>
      </c>
      <c r="BR54" t="str">
        <f>IF(ปลายภาค!L57="","",ปลายภาค!L57)</f>
        <v/>
      </c>
      <c r="BS54" t="str">
        <f>IF(ปลายภาค!M57="","",ปลายภาค!M57)</f>
        <v/>
      </c>
      <c r="BT54" t="str">
        <f>IF(กลางภาค!N57="","",กลางภาค!N57)</f>
        <v/>
      </c>
      <c r="BU54" t="str">
        <f>IF(ปลายภาค!N57="","",ปลายภาค!N57)</f>
        <v/>
      </c>
      <c r="BV54" t="str">
        <f>IF(คุณลักษณะอันพึงประสงค์!X57="","",คุณลักษณะอันพึงประสงค์!X57)</f>
        <v/>
      </c>
      <c r="BW54" t="str">
        <f>IF(อ่านคิดวิเคราะห์!I57="","",อ่านคิดวิเคราะห์!I57)</f>
        <v/>
      </c>
      <c r="BX54" t="str">
        <f>IF(สมรรถนะ!N57="","",สมรรถนะ!N57)</f>
        <v/>
      </c>
      <c r="BY54" t="str">
        <f>IF(อ่านคิดวิเคราะห์!D57="","",อ่านคิดวิเคราะห์!D57)</f>
        <v/>
      </c>
      <c r="BZ54" t="str">
        <f>IF(อ่านคิดวิเคราะห์!E57="","",อ่านคิดวิเคราะห์!E57)</f>
        <v/>
      </c>
      <c r="CA54" t="str">
        <f>IF(อ่านคิดวิเคราะห์!F57="","",อ่านคิดวิเคราะห์!F57)</f>
        <v/>
      </c>
      <c r="CB54" t="str">
        <f>IF(อ่านคิดวิเคราะห์!G57="","",อ่านคิดวิเคราะห์!G57)</f>
        <v/>
      </c>
      <c r="CC54" t="str">
        <f>IF(อ่านคิดวิเคราะห์!H57="","",อ่านคิดวิเคราะห์!H57)</f>
        <v/>
      </c>
      <c r="CD54" t="str">
        <f>IF(สมรรถนะ!D57="","",สมรรถนะ!D57)</f>
        <v/>
      </c>
      <c r="CE54" t="str">
        <f>IF(สมรรถนะ!E57="","",สมรรถนะ!E57)</f>
        <v/>
      </c>
      <c r="CF54" t="str">
        <f>IF(สมรรถนะ!F57="","",สมรรถนะ!F57)</f>
        <v/>
      </c>
      <c r="CG54" t="str">
        <f>IF(สมรรถนะ!G57="","",สมรรถนะ!G57)</f>
        <v/>
      </c>
      <c r="CH54" t="str">
        <f>IF(สมรรถนะ!H57="","",สมรรถนะ!H57)</f>
        <v/>
      </c>
      <c r="CI54" t="str">
        <f>IF(สมรรถนะ!I57="","",สมรรถนะ!I57)</f>
        <v/>
      </c>
      <c r="CJ54" t="str">
        <f>IF(สมรรถนะ!J57="","",สมรรถนะ!J57)</f>
        <v/>
      </c>
      <c r="CK54" t="str">
        <f>IF(สมรรถนะ!K57="","",สมรรถนะ!K57)</f>
        <v/>
      </c>
      <c r="CL54" t="str">
        <f>IF(สมรรถนะ!L57="","",สมรรถนะ!L57)</f>
        <v/>
      </c>
      <c r="CM54" t="str">
        <f>IF(สมรรถนะ!M57="","",สมรรถนะ!M57)</f>
        <v/>
      </c>
      <c r="CN54" t="str">
        <f>IF(คุณลักษณะอันพึงประสงค์!N57="","",คุณลักษณะอันพึงประสงค์!N57)</f>
        <v/>
      </c>
      <c r="CO54" t="str">
        <f>IF(คุณลักษณะอันพึงประสงค์!O57="","",คุณลักษณะอันพึงประสงค์!O57)</f>
        <v/>
      </c>
      <c r="CP54" t="str">
        <f>IF(คุณลักษณะอันพึงประสงค์!P57="","",คุณลักษณะอันพึงประสงค์!P57)</f>
        <v/>
      </c>
      <c r="CQ54" t="str">
        <f>IF(คุณลักษณะอันพึงประสงค์!Q57="","",คุณลักษณะอันพึงประสงค์!Q57)</f>
        <v/>
      </c>
      <c r="CR54" t="str">
        <f>IF(คุณลักษณะอันพึงประสงค์!R57="","",คุณลักษณะอันพึงประสงค์!R57)</f>
        <v/>
      </c>
      <c r="CS54" t="str">
        <f>IF(คุณลักษณะอันพึงประสงค์!S57="","",คุณลักษณะอันพึงประสงค์!S57)</f>
        <v/>
      </c>
      <c r="CT54" t="str">
        <f>IF(คุณลักษณะอันพึงประสงค์!T57="","",คุณลักษณะอันพึงประสงค์!T57)</f>
        <v/>
      </c>
      <c r="CU54" t="str">
        <f>IF(คุณลักษณะอันพึงประสงค์!U57="","",คุณลักษณะอันพึงประสงค์!U57)</f>
        <v/>
      </c>
      <c r="CV54" t="str">
        <f>IF(คุณลักษณะอันพึงประสงค์!V57="","",คุณลักษณะอันพึงประสงค์!V57)</f>
        <v/>
      </c>
      <c r="CW54" t="str">
        <f>IF(คุณลักษณะอันพึงประสงค์!W57="","",คุณลักษณะอันพึงประสงค์!W57)</f>
        <v/>
      </c>
    </row>
    <row r="55" spans="1:101">
      <c r="A55" t="str">
        <f>IF(คะแนนเก็บ!B58="","",คะแนนเก็บ!B58)</f>
        <v/>
      </c>
      <c r="B55" t="str">
        <f>IF(คะแนนเก็บ!D58="","",คะแนนเก็บ!D58)</f>
        <v/>
      </c>
      <c r="C55" t="str">
        <f>IF(คะแนนเก็บ!E58="","",คะแนนเก็บ!E58)</f>
        <v/>
      </c>
      <c r="D55" t="str">
        <f>IF(คะแนนเก็บ!F58="","",คะแนนเก็บ!F58)</f>
        <v/>
      </c>
      <c r="E55" t="str">
        <f>IF(คะแนนเก็บ!G58="","",คะแนนเก็บ!G58)</f>
        <v/>
      </c>
      <c r="F55" t="str">
        <f>IF(คะแนนเก็บ!H58="","",คะแนนเก็บ!H58)</f>
        <v/>
      </c>
      <c r="G55" t="str">
        <f>IF(คะแนนเก็บ!I58="","",คะแนนเก็บ!I58)</f>
        <v/>
      </c>
      <c r="H55" t="str">
        <f>IF(คะแนนเก็บ!J58="","",คะแนนเก็บ!J58)</f>
        <v/>
      </c>
      <c r="I55" t="str">
        <f>IF(คะแนนเก็บ!K58="","",คะแนนเก็บ!K58)</f>
        <v/>
      </c>
      <c r="J55" t="str">
        <f>IF(คะแนนเก็บ!L58="","",คะแนนเก็บ!L58)</f>
        <v/>
      </c>
      <c r="K55" t="str">
        <f>IF(คะแนนเก็บ!M58="","",คะแนนเก็บ!M58)</f>
        <v/>
      </c>
      <c r="L55" t="str">
        <f>IF(คะแนนเก็บ!N58="","",คะแนนเก็บ!N58)</f>
        <v/>
      </c>
      <c r="M55" t="str">
        <f>IF(คะแนนเก็บ!O58="","",คะแนนเก็บ!O58)</f>
        <v/>
      </c>
      <c r="N55" t="str">
        <f>IF(คะแนนเก็บ!P58="","",คะแนนเก็บ!P58)</f>
        <v/>
      </c>
      <c r="O55" t="str">
        <f>IF(คะแนนเก็บ!Q58="","",คะแนนเก็บ!Q58)</f>
        <v/>
      </c>
      <c r="P55" t="str">
        <f>IF(คะแนนเก็บ!R58="","",คะแนนเก็บ!R58)</f>
        <v/>
      </c>
      <c r="Q55" t="str">
        <f>IF(คะแนนเก็บ!S58="","",คะแนนเก็บ!S58)</f>
        <v/>
      </c>
      <c r="R55" t="str">
        <f>IF(คะแนนเก็บ!T58="","",คะแนนเก็บ!T58)</f>
        <v/>
      </c>
      <c r="S55" t="str">
        <f>IF(คะแนนเก็บ!U58="","",คะแนนเก็บ!U58)</f>
        <v/>
      </c>
      <c r="T55" t="str">
        <f>IF(คะแนนเก็บ!V58="","",คะแนนเก็บ!V58)</f>
        <v/>
      </c>
      <c r="U55" t="str">
        <f>IF(คะแนนเก็บ!W58="","",คะแนนเก็บ!W58)</f>
        <v/>
      </c>
      <c r="V55" t="str">
        <f>IF(คะแนนเก็บหลังกลางภาค!D58="","",คะแนนเก็บหลังกลางภาค!D58)</f>
        <v/>
      </c>
      <c r="W55" t="str">
        <f>IF(คะแนนเก็บหลังกลางภาค!E58="","",คะแนนเก็บหลังกลางภาค!E58)</f>
        <v/>
      </c>
      <c r="X55" t="str">
        <f>IF(คะแนนเก็บหลังกลางภาค!F58="","",คะแนนเก็บหลังกลางภาค!F58)</f>
        <v/>
      </c>
      <c r="Y55" t="str">
        <f>IF(คะแนนเก็บหลังกลางภาค!G58="","",คะแนนเก็บหลังกลางภาค!G58)</f>
        <v/>
      </c>
      <c r="Z55" t="str">
        <f>IF(คะแนนเก็บหลังกลางภาค!H58="","",คะแนนเก็บหลังกลางภาค!H58)</f>
        <v/>
      </c>
      <c r="AA55" t="str">
        <f>IF(คะแนนเก็บหลังกลางภาค!I58="","",คะแนนเก็บหลังกลางภาค!I58)</f>
        <v/>
      </c>
      <c r="AB55" t="str">
        <f>IF(คะแนนเก็บหลังกลางภาค!J58="","",คะแนนเก็บหลังกลางภาค!J58)</f>
        <v/>
      </c>
      <c r="AC55" t="str">
        <f>IF(คะแนนเก็บหลังกลางภาค!K58="","",คะแนนเก็บหลังกลางภาค!K58)</f>
        <v/>
      </c>
      <c r="AD55" t="str">
        <f>IF(คะแนนเก็บหลังกลางภาค!L58="","",คะแนนเก็บหลังกลางภาค!L58)</f>
        <v/>
      </c>
      <c r="AE55" t="str">
        <f>IF(คะแนนเก็บหลังกลางภาค!M58="","",คะแนนเก็บหลังกลางภาค!M58)</f>
        <v/>
      </c>
      <c r="AF55" t="str">
        <f>IF(คะแนนเก็บหลังกลางภาค!N58="","",คะแนนเก็บหลังกลางภาค!N58)</f>
        <v/>
      </c>
      <c r="AG55" t="str">
        <f>IF(คะแนนเก็บหลังกลางภาค!O58="","",คะแนนเก็บหลังกลางภาค!O58)</f>
        <v/>
      </c>
      <c r="AH55" t="str">
        <f>IF(คะแนนเก็บหลังกลางภาค!P58="","",คะแนนเก็บหลังกลางภาค!P58)</f>
        <v/>
      </c>
      <c r="AI55" t="str">
        <f>IF(คะแนนเก็บหลังกลางภาค!Q58="","",คะแนนเก็บหลังกลางภาค!Q58)</f>
        <v/>
      </c>
      <c r="AJ55" t="str">
        <f>IF(คะแนนเก็บหลังกลางภาค!R58="","",คะแนนเก็บหลังกลางภาค!R58)</f>
        <v/>
      </c>
      <c r="AK55" t="str">
        <f>IF(คะแนนเก็บหลังกลางภาค!S58="","",คะแนนเก็บหลังกลางภาค!S58)</f>
        <v/>
      </c>
      <c r="AL55" t="str">
        <f>IF(คะแนนเก็บหลังกลางภาค!T58="","",คะแนนเก็บหลังกลางภาค!T58)</f>
        <v/>
      </c>
      <c r="AM55" t="str">
        <f>IF(คะแนนเก็บหลังกลางภาค!U58="","",คะแนนเก็บหลังกลางภาค!U58)</f>
        <v/>
      </c>
      <c r="AN55" t="str">
        <f>IF(คะแนนเก็บหลังกลางภาค!V58="","",คะแนนเก็บหลังกลางภาค!V58)</f>
        <v/>
      </c>
      <c r="AO55" t="str">
        <f>IF(คะแนนเก็บหลังกลางภาค!W58="","",คะแนนเก็บหลังกลางภาค!W58)</f>
        <v/>
      </c>
      <c r="AP55" t="str">
        <f>IF(คุณลักษณะอันพึงประสงค์!D58="","",คุณลักษณะอันพึงประสงค์!D58)</f>
        <v/>
      </c>
      <c r="AQ55" t="str">
        <f>IF(คุณลักษณะอันพึงประสงค์!E58="","",คุณลักษณะอันพึงประสงค์!E58)</f>
        <v/>
      </c>
      <c r="AR55" t="str">
        <f>IF(คุณลักษณะอันพึงประสงค์!F58="","",คุณลักษณะอันพึงประสงค์!F58)</f>
        <v/>
      </c>
      <c r="AS55" t="str">
        <f>IF(คุณลักษณะอันพึงประสงค์!G58="","",คุณลักษณะอันพึงประสงค์!G58)</f>
        <v/>
      </c>
      <c r="AT55" t="str">
        <f>IF(คุณลักษณะอันพึงประสงค์!H58="","",คุณลักษณะอันพึงประสงค์!H58)</f>
        <v/>
      </c>
      <c r="AU55" t="str">
        <f>IF(คุณลักษณะอันพึงประสงค์!I58="","",คุณลักษณะอันพึงประสงค์!I58)</f>
        <v/>
      </c>
      <c r="AV55" t="str">
        <f>IF(คุณลักษณะอันพึงประสงค์!J58="","",คุณลักษณะอันพึงประสงค์!J58)</f>
        <v/>
      </c>
      <c r="AW55" t="str">
        <f>IF(คุณลักษณะอันพึงประสงค์!K58="","",คุณลักษณะอันพึงประสงค์!K58)</f>
        <v/>
      </c>
      <c r="AX55" t="str">
        <f>IF(คุณลักษณะอันพึงประสงค์!L58="","",คุณลักษณะอันพึงประสงค์!L58)</f>
        <v/>
      </c>
      <c r="AY55" t="str">
        <f>IF(คุณลักษณะอันพึงประสงค์!M58="","",คุณลักษณะอันพึงประสงค์!M58)</f>
        <v/>
      </c>
      <c r="AZ55" t="str">
        <f>IF(กลางภาค!D58="","",กลางภาค!D58)</f>
        <v/>
      </c>
      <c r="BA55" t="str">
        <f>IF(กลางภาค!E58="","",กลางภาค!E58)</f>
        <v/>
      </c>
      <c r="BB55" t="str">
        <f>IF(กลางภาค!F58="","",กลางภาค!F58)</f>
        <v/>
      </c>
      <c r="BC55" t="str">
        <f>IF(กลางภาค!G58="","",กลางภาค!G58)</f>
        <v/>
      </c>
      <c r="BD55" t="str">
        <f>IF(กลางภาค!H58="","",กลางภาค!H58)</f>
        <v/>
      </c>
      <c r="BE55" t="str">
        <f>IF(กลางภาค!I58="","",กลางภาค!I58)</f>
        <v/>
      </c>
      <c r="BF55" t="str">
        <f>IF(กลางภาค!J58="","",กลางภาค!J58)</f>
        <v/>
      </c>
      <c r="BG55" t="str">
        <f>IF(กลางภาค!K58="","",กลางภาค!K58)</f>
        <v/>
      </c>
      <c r="BH55" t="str">
        <f>IF(กลางภาค!L58="","",กลางภาค!L58)</f>
        <v/>
      </c>
      <c r="BI55" t="str">
        <f>IF(กลางภาค!M58="","",กลางภาค!M58)</f>
        <v/>
      </c>
      <c r="BJ55" t="str">
        <f>IF(ปลายภาค!D58="","",ปลายภาค!D58)</f>
        <v/>
      </c>
      <c r="BK55" t="str">
        <f>IF(ปลายภาค!E58="","",ปลายภาค!E58)</f>
        <v/>
      </c>
      <c r="BL55" t="str">
        <f>IF(ปลายภาค!F58="","",ปลายภาค!F58)</f>
        <v/>
      </c>
      <c r="BM55" t="str">
        <f>IF(ปลายภาค!G58="","",ปลายภาค!G58)</f>
        <v/>
      </c>
      <c r="BN55" t="str">
        <f>IF(ปลายภาค!H58="","",ปลายภาค!H58)</f>
        <v/>
      </c>
      <c r="BO55" t="str">
        <f>IF(ปลายภาค!I58="","",ปลายภาค!I58)</f>
        <v/>
      </c>
      <c r="BP55" t="str">
        <f>IF(ปลายภาค!J58="","",ปลายภาค!J58)</f>
        <v/>
      </c>
      <c r="BQ55" t="str">
        <f>IF(ปลายภาค!K58="","",ปลายภาค!K58)</f>
        <v/>
      </c>
      <c r="BR55" t="str">
        <f>IF(ปลายภาค!L58="","",ปลายภาค!L58)</f>
        <v/>
      </c>
      <c r="BS55" t="str">
        <f>IF(ปลายภาค!M58="","",ปลายภาค!M58)</f>
        <v/>
      </c>
      <c r="BT55" t="str">
        <f>IF(กลางภาค!N58="","",กลางภาค!N58)</f>
        <v/>
      </c>
      <c r="BU55" t="str">
        <f>IF(ปลายภาค!N58="","",ปลายภาค!N58)</f>
        <v/>
      </c>
      <c r="BV55" t="str">
        <f>IF(คุณลักษณะอันพึงประสงค์!X58="","",คุณลักษณะอันพึงประสงค์!X58)</f>
        <v/>
      </c>
      <c r="BW55" t="str">
        <f>IF(อ่านคิดวิเคราะห์!I58="","",อ่านคิดวิเคราะห์!I58)</f>
        <v/>
      </c>
      <c r="BX55" t="str">
        <f>IF(สมรรถนะ!N58="","",สมรรถนะ!N58)</f>
        <v/>
      </c>
      <c r="BY55" t="str">
        <f>IF(อ่านคิดวิเคราะห์!D58="","",อ่านคิดวิเคราะห์!D58)</f>
        <v/>
      </c>
      <c r="BZ55" t="str">
        <f>IF(อ่านคิดวิเคราะห์!E58="","",อ่านคิดวิเคราะห์!E58)</f>
        <v/>
      </c>
      <c r="CA55" t="str">
        <f>IF(อ่านคิดวิเคราะห์!F58="","",อ่านคิดวิเคราะห์!F58)</f>
        <v/>
      </c>
      <c r="CB55" t="str">
        <f>IF(อ่านคิดวิเคราะห์!G58="","",อ่านคิดวิเคราะห์!G58)</f>
        <v/>
      </c>
      <c r="CC55" t="str">
        <f>IF(อ่านคิดวิเคราะห์!H58="","",อ่านคิดวิเคราะห์!H58)</f>
        <v/>
      </c>
      <c r="CD55" t="str">
        <f>IF(สมรรถนะ!D58="","",สมรรถนะ!D58)</f>
        <v/>
      </c>
      <c r="CE55" t="str">
        <f>IF(สมรรถนะ!E58="","",สมรรถนะ!E58)</f>
        <v/>
      </c>
      <c r="CF55" t="str">
        <f>IF(สมรรถนะ!F58="","",สมรรถนะ!F58)</f>
        <v/>
      </c>
      <c r="CG55" t="str">
        <f>IF(สมรรถนะ!G58="","",สมรรถนะ!G58)</f>
        <v/>
      </c>
      <c r="CH55" t="str">
        <f>IF(สมรรถนะ!H58="","",สมรรถนะ!H58)</f>
        <v/>
      </c>
      <c r="CI55" t="str">
        <f>IF(สมรรถนะ!I58="","",สมรรถนะ!I58)</f>
        <v/>
      </c>
      <c r="CJ55" t="str">
        <f>IF(สมรรถนะ!J58="","",สมรรถนะ!J58)</f>
        <v/>
      </c>
      <c r="CK55" t="str">
        <f>IF(สมรรถนะ!K58="","",สมรรถนะ!K58)</f>
        <v/>
      </c>
      <c r="CL55" t="str">
        <f>IF(สมรรถนะ!L58="","",สมรรถนะ!L58)</f>
        <v/>
      </c>
      <c r="CM55" t="str">
        <f>IF(สมรรถนะ!M58="","",สมรรถนะ!M58)</f>
        <v/>
      </c>
      <c r="CN55" t="str">
        <f>IF(คุณลักษณะอันพึงประสงค์!N58="","",คุณลักษณะอันพึงประสงค์!N58)</f>
        <v/>
      </c>
      <c r="CO55" t="str">
        <f>IF(คุณลักษณะอันพึงประสงค์!O58="","",คุณลักษณะอันพึงประสงค์!O58)</f>
        <v/>
      </c>
      <c r="CP55" t="str">
        <f>IF(คุณลักษณะอันพึงประสงค์!P58="","",คุณลักษณะอันพึงประสงค์!P58)</f>
        <v/>
      </c>
      <c r="CQ55" t="str">
        <f>IF(คุณลักษณะอันพึงประสงค์!Q58="","",คุณลักษณะอันพึงประสงค์!Q58)</f>
        <v/>
      </c>
      <c r="CR55" t="str">
        <f>IF(คุณลักษณะอันพึงประสงค์!R58="","",คุณลักษณะอันพึงประสงค์!R58)</f>
        <v/>
      </c>
      <c r="CS55" t="str">
        <f>IF(คุณลักษณะอันพึงประสงค์!S58="","",คุณลักษณะอันพึงประสงค์!S58)</f>
        <v/>
      </c>
      <c r="CT55" t="str">
        <f>IF(คุณลักษณะอันพึงประสงค์!T58="","",คุณลักษณะอันพึงประสงค์!T58)</f>
        <v/>
      </c>
      <c r="CU55" t="str">
        <f>IF(คุณลักษณะอันพึงประสงค์!U58="","",คุณลักษณะอันพึงประสงค์!U58)</f>
        <v/>
      </c>
      <c r="CV55" t="str">
        <f>IF(คุณลักษณะอันพึงประสงค์!V58="","",คุณลักษณะอันพึงประสงค์!V58)</f>
        <v/>
      </c>
      <c r="CW55" t="str">
        <f>IF(คุณลักษณะอันพึงประสงค์!W58="","",คุณลักษณะอันพึงประสงค์!W58)</f>
        <v/>
      </c>
    </row>
    <row r="56" spans="1:101">
      <c r="A56" t="str">
        <f>IF(คะแนนเก็บ!B59="","",คะแนนเก็บ!B59)</f>
        <v/>
      </c>
      <c r="B56" t="str">
        <f>IF(คะแนนเก็บ!D59="","",คะแนนเก็บ!D59)</f>
        <v/>
      </c>
      <c r="C56" t="str">
        <f>IF(คะแนนเก็บ!E59="","",คะแนนเก็บ!E59)</f>
        <v/>
      </c>
      <c r="D56" t="str">
        <f>IF(คะแนนเก็บ!F59="","",คะแนนเก็บ!F59)</f>
        <v/>
      </c>
      <c r="E56" t="str">
        <f>IF(คะแนนเก็บ!G59="","",คะแนนเก็บ!G59)</f>
        <v/>
      </c>
      <c r="F56" t="str">
        <f>IF(คะแนนเก็บ!H59="","",คะแนนเก็บ!H59)</f>
        <v/>
      </c>
      <c r="G56" t="str">
        <f>IF(คะแนนเก็บ!I59="","",คะแนนเก็บ!I59)</f>
        <v/>
      </c>
      <c r="H56" t="str">
        <f>IF(คะแนนเก็บ!J59="","",คะแนนเก็บ!J59)</f>
        <v/>
      </c>
      <c r="I56" t="str">
        <f>IF(คะแนนเก็บ!K59="","",คะแนนเก็บ!K59)</f>
        <v/>
      </c>
      <c r="J56" t="str">
        <f>IF(คะแนนเก็บ!L59="","",คะแนนเก็บ!L59)</f>
        <v/>
      </c>
      <c r="K56" t="str">
        <f>IF(คะแนนเก็บ!M59="","",คะแนนเก็บ!M59)</f>
        <v/>
      </c>
      <c r="L56" t="str">
        <f>IF(คะแนนเก็บ!N59="","",คะแนนเก็บ!N59)</f>
        <v/>
      </c>
      <c r="M56" t="str">
        <f>IF(คะแนนเก็บ!O59="","",คะแนนเก็บ!O59)</f>
        <v/>
      </c>
      <c r="N56" t="str">
        <f>IF(คะแนนเก็บ!P59="","",คะแนนเก็บ!P59)</f>
        <v/>
      </c>
      <c r="O56" t="str">
        <f>IF(คะแนนเก็บ!Q59="","",คะแนนเก็บ!Q59)</f>
        <v/>
      </c>
      <c r="P56" t="str">
        <f>IF(คะแนนเก็บ!R59="","",คะแนนเก็บ!R59)</f>
        <v/>
      </c>
      <c r="Q56" t="str">
        <f>IF(คะแนนเก็บ!S59="","",คะแนนเก็บ!S59)</f>
        <v/>
      </c>
      <c r="R56" t="str">
        <f>IF(คะแนนเก็บ!T59="","",คะแนนเก็บ!T59)</f>
        <v/>
      </c>
      <c r="S56" t="str">
        <f>IF(คะแนนเก็บ!U59="","",คะแนนเก็บ!U59)</f>
        <v/>
      </c>
      <c r="T56" t="str">
        <f>IF(คะแนนเก็บ!V59="","",คะแนนเก็บ!V59)</f>
        <v/>
      </c>
      <c r="U56" t="str">
        <f>IF(คะแนนเก็บ!W59="","",คะแนนเก็บ!W59)</f>
        <v/>
      </c>
      <c r="V56" t="str">
        <f>IF(คะแนนเก็บหลังกลางภาค!D59="","",คะแนนเก็บหลังกลางภาค!D59)</f>
        <v/>
      </c>
      <c r="W56" t="str">
        <f>IF(คะแนนเก็บหลังกลางภาค!E59="","",คะแนนเก็บหลังกลางภาค!E59)</f>
        <v/>
      </c>
      <c r="X56" t="str">
        <f>IF(คะแนนเก็บหลังกลางภาค!F59="","",คะแนนเก็บหลังกลางภาค!F59)</f>
        <v/>
      </c>
      <c r="Y56" t="str">
        <f>IF(คะแนนเก็บหลังกลางภาค!G59="","",คะแนนเก็บหลังกลางภาค!G59)</f>
        <v/>
      </c>
      <c r="Z56" t="str">
        <f>IF(คะแนนเก็บหลังกลางภาค!H59="","",คะแนนเก็บหลังกลางภาค!H59)</f>
        <v/>
      </c>
      <c r="AA56" t="str">
        <f>IF(คะแนนเก็บหลังกลางภาค!I59="","",คะแนนเก็บหลังกลางภาค!I59)</f>
        <v/>
      </c>
      <c r="AB56" t="str">
        <f>IF(คะแนนเก็บหลังกลางภาค!J59="","",คะแนนเก็บหลังกลางภาค!J59)</f>
        <v/>
      </c>
      <c r="AC56" t="str">
        <f>IF(คะแนนเก็บหลังกลางภาค!K59="","",คะแนนเก็บหลังกลางภาค!K59)</f>
        <v/>
      </c>
      <c r="AD56" t="str">
        <f>IF(คะแนนเก็บหลังกลางภาค!L59="","",คะแนนเก็บหลังกลางภาค!L59)</f>
        <v/>
      </c>
      <c r="AE56" t="str">
        <f>IF(คะแนนเก็บหลังกลางภาค!M59="","",คะแนนเก็บหลังกลางภาค!M59)</f>
        <v/>
      </c>
      <c r="AF56" t="str">
        <f>IF(คะแนนเก็บหลังกลางภาค!N59="","",คะแนนเก็บหลังกลางภาค!N59)</f>
        <v/>
      </c>
      <c r="AG56" t="str">
        <f>IF(คะแนนเก็บหลังกลางภาค!O59="","",คะแนนเก็บหลังกลางภาค!O59)</f>
        <v/>
      </c>
      <c r="AH56" t="str">
        <f>IF(คะแนนเก็บหลังกลางภาค!P59="","",คะแนนเก็บหลังกลางภาค!P59)</f>
        <v/>
      </c>
      <c r="AI56" t="str">
        <f>IF(คะแนนเก็บหลังกลางภาค!Q59="","",คะแนนเก็บหลังกลางภาค!Q59)</f>
        <v/>
      </c>
      <c r="AJ56" t="str">
        <f>IF(คะแนนเก็บหลังกลางภาค!R59="","",คะแนนเก็บหลังกลางภาค!R59)</f>
        <v/>
      </c>
      <c r="AK56" t="str">
        <f>IF(คะแนนเก็บหลังกลางภาค!S59="","",คะแนนเก็บหลังกลางภาค!S59)</f>
        <v/>
      </c>
      <c r="AL56" t="str">
        <f>IF(คะแนนเก็บหลังกลางภาค!T59="","",คะแนนเก็บหลังกลางภาค!T59)</f>
        <v/>
      </c>
      <c r="AM56" t="str">
        <f>IF(คะแนนเก็บหลังกลางภาค!U59="","",คะแนนเก็บหลังกลางภาค!U59)</f>
        <v/>
      </c>
      <c r="AN56" t="str">
        <f>IF(คะแนนเก็บหลังกลางภาค!V59="","",คะแนนเก็บหลังกลางภาค!V59)</f>
        <v/>
      </c>
      <c r="AO56" t="str">
        <f>IF(คะแนนเก็บหลังกลางภาค!W59="","",คะแนนเก็บหลังกลางภาค!W59)</f>
        <v/>
      </c>
      <c r="AP56" t="str">
        <f>IF(คุณลักษณะอันพึงประสงค์!D59="","",คุณลักษณะอันพึงประสงค์!D59)</f>
        <v/>
      </c>
      <c r="AQ56" t="str">
        <f>IF(คุณลักษณะอันพึงประสงค์!E59="","",คุณลักษณะอันพึงประสงค์!E59)</f>
        <v/>
      </c>
      <c r="AR56" t="str">
        <f>IF(คุณลักษณะอันพึงประสงค์!F59="","",คุณลักษณะอันพึงประสงค์!F59)</f>
        <v/>
      </c>
      <c r="AS56" t="str">
        <f>IF(คุณลักษณะอันพึงประสงค์!G59="","",คุณลักษณะอันพึงประสงค์!G59)</f>
        <v/>
      </c>
      <c r="AT56" t="str">
        <f>IF(คุณลักษณะอันพึงประสงค์!H59="","",คุณลักษณะอันพึงประสงค์!H59)</f>
        <v/>
      </c>
      <c r="AU56" t="str">
        <f>IF(คุณลักษณะอันพึงประสงค์!I59="","",คุณลักษณะอันพึงประสงค์!I59)</f>
        <v/>
      </c>
      <c r="AV56" t="str">
        <f>IF(คุณลักษณะอันพึงประสงค์!J59="","",คุณลักษณะอันพึงประสงค์!J59)</f>
        <v/>
      </c>
      <c r="AW56" t="str">
        <f>IF(คุณลักษณะอันพึงประสงค์!K59="","",คุณลักษณะอันพึงประสงค์!K59)</f>
        <v/>
      </c>
      <c r="AX56" t="str">
        <f>IF(คุณลักษณะอันพึงประสงค์!L59="","",คุณลักษณะอันพึงประสงค์!L59)</f>
        <v/>
      </c>
      <c r="AY56" t="str">
        <f>IF(คุณลักษณะอันพึงประสงค์!M59="","",คุณลักษณะอันพึงประสงค์!M59)</f>
        <v/>
      </c>
      <c r="AZ56" t="str">
        <f>IF(กลางภาค!D59="","",กลางภาค!D59)</f>
        <v/>
      </c>
      <c r="BA56" t="str">
        <f>IF(กลางภาค!E59="","",กลางภาค!E59)</f>
        <v/>
      </c>
      <c r="BB56" t="str">
        <f>IF(กลางภาค!F59="","",กลางภาค!F59)</f>
        <v/>
      </c>
      <c r="BC56" t="str">
        <f>IF(กลางภาค!G59="","",กลางภาค!G59)</f>
        <v/>
      </c>
      <c r="BD56" t="str">
        <f>IF(กลางภาค!H59="","",กลางภาค!H59)</f>
        <v/>
      </c>
      <c r="BE56" t="str">
        <f>IF(กลางภาค!I59="","",กลางภาค!I59)</f>
        <v/>
      </c>
      <c r="BF56" t="str">
        <f>IF(กลางภาค!J59="","",กลางภาค!J59)</f>
        <v/>
      </c>
      <c r="BG56" t="str">
        <f>IF(กลางภาค!K59="","",กลางภาค!K59)</f>
        <v/>
      </c>
      <c r="BH56" t="str">
        <f>IF(กลางภาค!L59="","",กลางภาค!L59)</f>
        <v/>
      </c>
      <c r="BI56" t="str">
        <f>IF(กลางภาค!M59="","",กลางภาค!M59)</f>
        <v/>
      </c>
      <c r="BJ56" t="str">
        <f>IF(ปลายภาค!D59="","",ปลายภาค!D59)</f>
        <v/>
      </c>
      <c r="BK56" t="str">
        <f>IF(ปลายภาค!E59="","",ปลายภาค!E59)</f>
        <v/>
      </c>
      <c r="BL56" t="str">
        <f>IF(ปลายภาค!F59="","",ปลายภาค!F59)</f>
        <v/>
      </c>
      <c r="BM56" t="str">
        <f>IF(ปลายภาค!G59="","",ปลายภาค!G59)</f>
        <v/>
      </c>
      <c r="BN56" t="str">
        <f>IF(ปลายภาค!H59="","",ปลายภาค!H59)</f>
        <v/>
      </c>
      <c r="BO56" t="str">
        <f>IF(ปลายภาค!I59="","",ปลายภาค!I59)</f>
        <v/>
      </c>
      <c r="BP56" t="str">
        <f>IF(ปลายภาค!J59="","",ปลายภาค!J59)</f>
        <v/>
      </c>
      <c r="BQ56" t="str">
        <f>IF(ปลายภาค!K59="","",ปลายภาค!K59)</f>
        <v/>
      </c>
      <c r="BR56" t="str">
        <f>IF(ปลายภาค!L59="","",ปลายภาค!L59)</f>
        <v/>
      </c>
      <c r="BS56" t="str">
        <f>IF(ปลายภาค!M59="","",ปลายภาค!M59)</f>
        <v/>
      </c>
      <c r="BT56" t="str">
        <f>IF(กลางภาค!N59="","",กลางภาค!N59)</f>
        <v/>
      </c>
      <c r="BU56" t="str">
        <f>IF(ปลายภาค!N59="","",ปลายภาค!N59)</f>
        <v/>
      </c>
      <c r="BV56" t="str">
        <f>IF(คุณลักษณะอันพึงประสงค์!X59="","",คุณลักษณะอันพึงประสงค์!X59)</f>
        <v/>
      </c>
      <c r="BW56" t="str">
        <f>IF(อ่านคิดวิเคราะห์!I59="","",อ่านคิดวิเคราะห์!I59)</f>
        <v/>
      </c>
      <c r="BX56" t="str">
        <f>IF(สมรรถนะ!N59="","",สมรรถนะ!N59)</f>
        <v/>
      </c>
      <c r="BY56" t="str">
        <f>IF(อ่านคิดวิเคราะห์!D59="","",อ่านคิดวิเคราะห์!D59)</f>
        <v/>
      </c>
      <c r="BZ56" t="str">
        <f>IF(อ่านคิดวิเคราะห์!E59="","",อ่านคิดวิเคราะห์!E59)</f>
        <v/>
      </c>
      <c r="CA56" t="str">
        <f>IF(อ่านคิดวิเคราะห์!F59="","",อ่านคิดวิเคราะห์!F59)</f>
        <v/>
      </c>
      <c r="CB56" t="str">
        <f>IF(อ่านคิดวิเคราะห์!G59="","",อ่านคิดวิเคราะห์!G59)</f>
        <v/>
      </c>
      <c r="CC56" t="str">
        <f>IF(อ่านคิดวิเคราะห์!H59="","",อ่านคิดวิเคราะห์!H59)</f>
        <v/>
      </c>
      <c r="CD56" t="str">
        <f>IF(สมรรถนะ!D59="","",สมรรถนะ!D59)</f>
        <v/>
      </c>
      <c r="CE56" t="str">
        <f>IF(สมรรถนะ!E59="","",สมรรถนะ!E59)</f>
        <v/>
      </c>
      <c r="CF56" t="str">
        <f>IF(สมรรถนะ!F59="","",สมรรถนะ!F59)</f>
        <v/>
      </c>
      <c r="CG56" t="str">
        <f>IF(สมรรถนะ!G59="","",สมรรถนะ!G59)</f>
        <v/>
      </c>
      <c r="CH56" t="str">
        <f>IF(สมรรถนะ!H59="","",สมรรถนะ!H59)</f>
        <v/>
      </c>
      <c r="CI56" t="str">
        <f>IF(สมรรถนะ!I59="","",สมรรถนะ!I59)</f>
        <v/>
      </c>
      <c r="CJ56" t="str">
        <f>IF(สมรรถนะ!J59="","",สมรรถนะ!J59)</f>
        <v/>
      </c>
      <c r="CK56" t="str">
        <f>IF(สมรรถนะ!K59="","",สมรรถนะ!K59)</f>
        <v/>
      </c>
      <c r="CL56" t="str">
        <f>IF(สมรรถนะ!L59="","",สมรรถนะ!L59)</f>
        <v/>
      </c>
      <c r="CM56" t="str">
        <f>IF(สมรรถนะ!M59="","",สมรรถนะ!M59)</f>
        <v/>
      </c>
      <c r="CN56" t="str">
        <f>IF(คุณลักษณะอันพึงประสงค์!N59="","",คุณลักษณะอันพึงประสงค์!N59)</f>
        <v/>
      </c>
      <c r="CO56" t="str">
        <f>IF(คุณลักษณะอันพึงประสงค์!O59="","",คุณลักษณะอันพึงประสงค์!O59)</f>
        <v/>
      </c>
      <c r="CP56" t="str">
        <f>IF(คุณลักษณะอันพึงประสงค์!P59="","",คุณลักษณะอันพึงประสงค์!P59)</f>
        <v/>
      </c>
      <c r="CQ56" t="str">
        <f>IF(คุณลักษณะอันพึงประสงค์!Q59="","",คุณลักษณะอันพึงประสงค์!Q59)</f>
        <v/>
      </c>
      <c r="CR56" t="str">
        <f>IF(คุณลักษณะอันพึงประสงค์!R59="","",คุณลักษณะอันพึงประสงค์!R59)</f>
        <v/>
      </c>
      <c r="CS56" t="str">
        <f>IF(คุณลักษณะอันพึงประสงค์!S59="","",คุณลักษณะอันพึงประสงค์!S59)</f>
        <v/>
      </c>
      <c r="CT56" t="str">
        <f>IF(คุณลักษณะอันพึงประสงค์!T59="","",คุณลักษณะอันพึงประสงค์!T59)</f>
        <v/>
      </c>
      <c r="CU56" t="str">
        <f>IF(คุณลักษณะอันพึงประสงค์!U59="","",คุณลักษณะอันพึงประสงค์!U59)</f>
        <v/>
      </c>
      <c r="CV56" t="str">
        <f>IF(คุณลักษณะอันพึงประสงค์!V59="","",คุณลักษณะอันพึงประสงค์!V59)</f>
        <v/>
      </c>
      <c r="CW56" t="str">
        <f>IF(คุณลักษณะอันพึงประสงค์!W59="","",คุณลักษณะอันพึงประสงค์!W59)</f>
        <v/>
      </c>
    </row>
    <row r="57" spans="1:101">
      <c r="A57" t="str">
        <f>IF(คะแนนเก็บ!B60="","",คะแนนเก็บ!B60)</f>
        <v/>
      </c>
      <c r="B57" t="str">
        <f>IF(คะแนนเก็บ!D60="","",คะแนนเก็บ!D60)</f>
        <v/>
      </c>
      <c r="C57" t="str">
        <f>IF(คะแนนเก็บ!E60="","",คะแนนเก็บ!E60)</f>
        <v/>
      </c>
      <c r="D57" t="str">
        <f>IF(คะแนนเก็บ!F60="","",คะแนนเก็บ!F60)</f>
        <v/>
      </c>
      <c r="E57" t="str">
        <f>IF(คะแนนเก็บ!G60="","",คะแนนเก็บ!G60)</f>
        <v/>
      </c>
      <c r="F57" t="str">
        <f>IF(คะแนนเก็บ!H60="","",คะแนนเก็บ!H60)</f>
        <v/>
      </c>
      <c r="G57" t="str">
        <f>IF(คะแนนเก็บ!I60="","",คะแนนเก็บ!I60)</f>
        <v/>
      </c>
      <c r="H57" t="str">
        <f>IF(คะแนนเก็บ!J60="","",คะแนนเก็บ!J60)</f>
        <v/>
      </c>
      <c r="I57" t="str">
        <f>IF(คะแนนเก็บ!K60="","",คะแนนเก็บ!K60)</f>
        <v/>
      </c>
      <c r="J57" t="str">
        <f>IF(คะแนนเก็บ!L60="","",คะแนนเก็บ!L60)</f>
        <v/>
      </c>
      <c r="K57" t="str">
        <f>IF(คะแนนเก็บ!M60="","",คะแนนเก็บ!M60)</f>
        <v/>
      </c>
      <c r="L57" t="str">
        <f>IF(คะแนนเก็บ!N60="","",คะแนนเก็บ!N60)</f>
        <v/>
      </c>
      <c r="M57" t="str">
        <f>IF(คะแนนเก็บ!O60="","",คะแนนเก็บ!O60)</f>
        <v/>
      </c>
      <c r="N57" t="str">
        <f>IF(คะแนนเก็บ!P60="","",คะแนนเก็บ!P60)</f>
        <v/>
      </c>
      <c r="O57" t="str">
        <f>IF(คะแนนเก็บ!Q60="","",คะแนนเก็บ!Q60)</f>
        <v/>
      </c>
      <c r="P57" t="str">
        <f>IF(คะแนนเก็บ!R60="","",คะแนนเก็บ!R60)</f>
        <v/>
      </c>
      <c r="Q57" t="str">
        <f>IF(คะแนนเก็บ!S60="","",คะแนนเก็บ!S60)</f>
        <v/>
      </c>
      <c r="R57" t="str">
        <f>IF(คะแนนเก็บ!T60="","",คะแนนเก็บ!T60)</f>
        <v/>
      </c>
      <c r="S57" t="str">
        <f>IF(คะแนนเก็บ!U60="","",คะแนนเก็บ!U60)</f>
        <v/>
      </c>
      <c r="T57" t="str">
        <f>IF(คะแนนเก็บ!V60="","",คะแนนเก็บ!V60)</f>
        <v/>
      </c>
      <c r="U57" t="str">
        <f>IF(คะแนนเก็บ!W60="","",คะแนนเก็บ!W60)</f>
        <v/>
      </c>
      <c r="V57" t="str">
        <f>IF(คะแนนเก็บหลังกลางภาค!D60="","",คะแนนเก็บหลังกลางภาค!D60)</f>
        <v/>
      </c>
      <c r="W57" t="str">
        <f>IF(คะแนนเก็บหลังกลางภาค!E60="","",คะแนนเก็บหลังกลางภาค!E60)</f>
        <v/>
      </c>
      <c r="X57" t="str">
        <f>IF(คะแนนเก็บหลังกลางภาค!F60="","",คะแนนเก็บหลังกลางภาค!F60)</f>
        <v/>
      </c>
      <c r="Y57" t="str">
        <f>IF(คะแนนเก็บหลังกลางภาค!G60="","",คะแนนเก็บหลังกลางภาค!G60)</f>
        <v/>
      </c>
      <c r="Z57" t="str">
        <f>IF(คะแนนเก็บหลังกลางภาค!H60="","",คะแนนเก็บหลังกลางภาค!H60)</f>
        <v/>
      </c>
      <c r="AA57" t="str">
        <f>IF(คะแนนเก็บหลังกลางภาค!I60="","",คะแนนเก็บหลังกลางภาค!I60)</f>
        <v/>
      </c>
      <c r="AB57" t="str">
        <f>IF(คะแนนเก็บหลังกลางภาค!J60="","",คะแนนเก็บหลังกลางภาค!J60)</f>
        <v/>
      </c>
      <c r="AC57" t="str">
        <f>IF(คะแนนเก็บหลังกลางภาค!K60="","",คะแนนเก็บหลังกลางภาค!K60)</f>
        <v/>
      </c>
      <c r="AD57" t="str">
        <f>IF(คะแนนเก็บหลังกลางภาค!L60="","",คะแนนเก็บหลังกลางภาค!L60)</f>
        <v/>
      </c>
      <c r="AE57" t="str">
        <f>IF(คะแนนเก็บหลังกลางภาค!M60="","",คะแนนเก็บหลังกลางภาค!M60)</f>
        <v/>
      </c>
      <c r="AF57" t="str">
        <f>IF(คะแนนเก็บหลังกลางภาค!N60="","",คะแนนเก็บหลังกลางภาค!N60)</f>
        <v/>
      </c>
      <c r="AG57" t="str">
        <f>IF(คะแนนเก็บหลังกลางภาค!O60="","",คะแนนเก็บหลังกลางภาค!O60)</f>
        <v/>
      </c>
      <c r="AH57" t="str">
        <f>IF(คะแนนเก็บหลังกลางภาค!P60="","",คะแนนเก็บหลังกลางภาค!P60)</f>
        <v/>
      </c>
      <c r="AI57" t="str">
        <f>IF(คะแนนเก็บหลังกลางภาค!Q60="","",คะแนนเก็บหลังกลางภาค!Q60)</f>
        <v/>
      </c>
      <c r="AJ57" t="str">
        <f>IF(คะแนนเก็บหลังกลางภาค!R60="","",คะแนนเก็บหลังกลางภาค!R60)</f>
        <v/>
      </c>
      <c r="AK57" t="str">
        <f>IF(คะแนนเก็บหลังกลางภาค!S60="","",คะแนนเก็บหลังกลางภาค!S60)</f>
        <v/>
      </c>
      <c r="AL57" t="str">
        <f>IF(คะแนนเก็บหลังกลางภาค!T60="","",คะแนนเก็บหลังกลางภาค!T60)</f>
        <v/>
      </c>
      <c r="AM57" t="str">
        <f>IF(คะแนนเก็บหลังกลางภาค!U60="","",คะแนนเก็บหลังกลางภาค!U60)</f>
        <v/>
      </c>
      <c r="AN57" t="str">
        <f>IF(คะแนนเก็บหลังกลางภาค!V60="","",คะแนนเก็บหลังกลางภาค!V60)</f>
        <v/>
      </c>
      <c r="AO57" t="str">
        <f>IF(คะแนนเก็บหลังกลางภาค!W60="","",คะแนนเก็บหลังกลางภาค!W60)</f>
        <v/>
      </c>
      <c r="AP57" t="str">
        <f>IF(คุณลักษณะอันพึงประสงค์!D60="","",คุณลักษณะอันพึงประสงค์!D60)</f>
        <v/>
      </c>
      <c r="AQ57" t="str">
        <f>IF(คุณลักษณะอันพึงประสงค์!E60="","",คุณลักษณะอันพึงประสงค์!E60)</f>
        <v/>
      </c>
      <c r="AR57" t="str">
        <f>IF(คุณลักษณะอันพึงประสงค์!F60="","",คุณลักษณะอันพึงประสงค์!F60)</f>
        <v/>
      </c>
      <c r="AS57" t="str">
        <f>IF(คุณลักษณะอันพึงประสงค์!G60="","",คุณลักษณะอันพึงประสงค์!G60)</f>
        <v/>
      </c>
      <c r="AT57" t="str">
        <f>IF(คุณลักษณะอันพึงประสงค์!H60="","",คุณลักษณะอันพึงประสงค์!H60)</f>
        <v/>
      </c>
      <c r="AU57" t="str">
        <f>IF(คุณลักษณะอันพึงประสงค์!I60="","",คุณลักษณะอันพึงประสงค์!I60)</f>
        <v/>
      </c>
      <c r="AV57" t="str">
        <f>IF(คุณลักษณะอันพึงประสงค์!J60="","",คุณลักษณะอันพึงประสงค์!J60)</f>
        <v/>
      </c>
      <c r="AW57" t="str">
        <f>IF(คุณลักษณะอันพึงประสงค์!K60="","",คุณลักษณะอันพึงประสงค์!K60)</f>
        <v/>
      </c>
      <c r="AX57" t="str">
        <f>IF(คุณลักษณะอันพึงประสงค์!L60="","",คุณลักษณะอันพึงประสงค์!L60)</f>
        <v/>
      </c>
      <c r="AY57" t="str">
        <f>IF(คุณลักษณะอันพึงประสงค์!M60="","",คุณลักษณะอันพึงประสงค์!M60)</f>
        <v/>
      </c>
      <c r="AZ57" t="str">
        <f>IF(กลางภาค!D60="","",กลางภาค!D60)</f>
        <v/>
      </c>
      <c r="BA57" t="str">
        <f>IF(กลางภาค!E60="","",กลางภาค!E60)</f>
        <v/>
      </c>
      <c r="BB57" t="str">
        <f>IF(กลางภาค!F60="","",กลางภาค!F60)</f>
        <v/>
      </c>
      <c r="BC57" t="str">
        <f>IF(กลางภาค!G60="","",กลางภาค!G60)</f>
        <v/>
      </c>
      <c r="BD57" t="str">
        <f>IF(กลางภาค!H60="","",กลางภาค!H60)</f>
        <v/>
      </c>
      <c r="BE57" t="str">
        <f>IF(กลางภาค!I60="","",กลางภาค!I60)</f>
        <v/>
      </c>
      <c r="BF57" t="str">
        <f>IF(กลางภาค!J60="","",กลางภาค!J60)</f>
        <v/>
      </c>
      <c r="BG57" t="str">
        <f>IF(กลางภาค!K60="","",กลางภาค!K60)</f>
        <v/>
      </c>
      <c r="BH57" t="str">
        <f>IF(กลางภาค!L60="","",กลางภาค!L60)</f>
        <v/>
      </c>
      <c r="BI57" t="str">
        <f>IF(กลางภาค!M60="","",กลางภาค!M60)</f>
        <v/>
      </c>
      <c r="BJ57" t="str">
        <f>IF(ปลายภาค!D60="","",ปลายภาค!D60)</f>
        <v/>
      </c>
      <c r="BK57" t="str">
        <f>IF(ปลายภาค!E60="","",ปลายภาค!E60)</f>
        <v/>
      </c>
      <c r="BL57" t="str">
        <f>IF(ปลายภาค!F60="","",ปลายภาค!F60)</f>
        <v/>
      </c>
      <c r="BM57" t="str">
        <f>IF(ปลายภาค!G60="","",ปลายภาค!G60)</f>
        <v/>
      </c>
      <c r="BN57" t="str">
        <f>IF(ปลายภาค!H60="","",ปลายภาค!H60)</f>
        <v/>
      </c>
      <c r="BO57" t="str">
        <f>IF(ปลายภาค!I60="","",ปลายภาค!I60)</f>
        <v/>
      </c>
      <c r="BP57" t="str">
        <f>IF(ปลายภาค!J60="","",ปลายภาค!J60)</f>
        <v/>
      </c>
      <c r="BQ57" t="str">
        <f>IF(ปลายภาค!K60="","",ปลายภาค!K60)</f>
        <v/>
      </c>
      <c r="BR57" t="str">
        <f>IF(ปลายภาค!L60="","",ปลายภาค!L60)</f>
        <v/>
      </c>
      <c r="BS57" t="str">
        <f>IF(ปลายภาค!M60="","",ปลายภาค!M60)</f>
        <v/>
      </c>
      <c r="BT57" t="str">
        <f>IF(กลางภาค!N60="","",กลางภาค!N60)</f>
        <v/>
      </c>
      <c r="BU57" t="str">
        <f>IF(ปลายภาค!N60="","",ปลายภาค!N60)</f>
        <v/>
      </c>
      <c r="BV57" t="str">
        <f>IF(คุณลักษณะอันพึงประสงค์!X60="","",คุณลักษณะอันพึงประสงค์!X60)</f>
        <v/>
      </c>
      <c r="BW57" t="str">
        <f>IF(อ่านคิดวิเคราะห์!I60="","",อ่านคิดวิเคราะห์!I60)</f>
        <v/>
      </c>
      <c r="BX57" t="str">
        <f>IF(สมรรถนะ!N60="","",สมรรถนะ!N60)</f>
        <v/>
      </c>
      <c r="BY57" t="str">
        <f>IF(อ่านคิดวิเคราะห์!D60="","",อ่านคิดวิเคราะห์!D60)</f>
        <v/>
      </c>
      <c r="BZ57" t="str">
        <f>IF(อ่านคิดวิเคราะห์!E60="","",อ่านคิดวิเคราะห์!E60)</f>
        <v/>
      </c>
      <c r="CA57" t="str">
        <f>IF(อ่านคิดวิเคราะห์!F60="","",อ่านคิดวิเคราะห์!F60)</f>
        <v/>
      </c>
      <c r="CB57" t="str">
        <f>IF(อ่านคิดวิเคราะห์!G60="","",อ่านคิดวิเคราะห์!G60)</f>
        <v/>
      </c>
      <c r="CC57" t="str">
        <f>IF(อ่านคิดวิเคราะห์!H60="","",อ่านคิดวิเคราะห์!H60)</f>
        <v/>
      </c>
      <c r="CD57" t="str">
        <f>IF(สมรรถนะ!D60="","",สมรรถนะ!D60)</f>
        <v/>
      </c>
      <c r="CE57" t="str">
        <f>IF(สมรรถนะ!E60="","",สมรรถนะ!E60)</f>
        <v/>
      </c>
      <c r="CF57" t="str">
        <f>IF(สมรรถนะ!F60="","",สมรรถนะ!F60)</f>
        <v/>
      </c>
      <c r="CG57" t="str">
        <f>IF(สมรรถนะ!G60="","",สมรรถนะ!G60)</f>
        <v/>
      </c>
      <c r="CH57" t="str">
        <f>IF(สมรรถนะ!H60="","",สมรรถนะ!H60)</f>
        <v/>
      </c>
      <c r="CI57" t="str">
        <f>IF(สมรรถนะ!I60="","",สมรรถนะ!I60)</f>
        <v/>
      </c>
      <c r="CJ57" t="str">
        <f>IF(สมรรถนะ!J60="","",สมรรถนะ!J60)</f>
        <v/>
      </c>
      <c r="CK57" t="str">
        <f>IF(สมรรถนะ!K60="","",สมรรถนะ!K60)</f>
        <v/>
      </c>
      <c r="CL57" t="str">
        <f>IF(สมรรถนะ!L60="","",สมรรถนะ!L60)</f>
        <v/>
      </c>
      <c r="CM57" t="str">
        <f>IF(สมรรถนะ!M60="","",สมรรถนะ!M60)</f>
        <v/>
      </c>
      <c r="CN57" t="str">
        <f>IF(คุณลักษณะอันพึงประสงค์!N60="","",คุณลักษณะอันพึงประสงค์!N60)</f>
        <v/>
      </c>
      <c r="CO57" t="str">
        <f>IF(คุณลักษณะอันพึงประสงค์!O60="","",คุณลักษณะอันพึงประสงค์!O60)</f>
        <v/>
      </c>
      <c r="CP57" t="str">
        <f>IF(คุณลักษณะอันพึงประสงค์!P60="","",คุณลักษณะอันพึงประสงค์!P60)</f>
        <v/>
      </c>
      <c r="CQ57" t="str">
        <f>IF(คุณลักษณะอันพึงประสงค์!Q60="","",คุณลักษณะอันพึงประสงค์!Q60)</f>
        <v/>
      </c>
      <c r="CR57" t="str">
        <f>IF(คุณลักษณะอันพึงประสงค์!R60="","",คุณลักษณะอันพึงประสงค์!R60)</f>
        <v/>
      </c>
      <c r="CS57" t="str">
        <f>IF(คุณลักษณะอันพึงประสงค์!S60="","",คุณลักษณะอันพึงประสงค์!S60)</f>
        <v/>
      </c>
      <c r="CT57" t="str">
        <f>IF(คุณลักษณะอันพึงประสงค์!T60="","",คุณลักษณะอันพึงประสงค์!T60)</f>
        <v/>
      </c>
      <c r="CU57" t="str">
        <f>IF(คุณลักษณะอันพึงประสงค์!U60="","",คุณลักษณะอันพึงประสงค์!U60)</f>
        <v/>
      </c>
      <c r="CV57" t="str">
        <f>IF(คุณลักษณะอันพึงประสงค์!V60="","",คุณลักษณะอันพึงประสงค์!V60)</f>
        <v/>
      </c>
      <c r="CW57" t="str">
        <f>IF(คุณลักษณะอันพึงประสงค์!W60="","",คุณลักษณะอันพึงประสงค์!W60)</f>
        <v/>
      </c>
    </row>
    <row r="58" spans="1:101">
      <c r="A58" t="str">
        <f>IF(คะแนนเก็บ!B61="","",คะแนนเก็บ!B61)</f>
        <v/>
      </c>
      <c r="B58" t="str">
        <f>IF(คะแนนเก็บ!D61="","",คะแนนเก็บ!D61)</f>
        <v/>
      </c>
      <c r="C58" t="str">
        <f>IF(คะแนนเก็บ!E61="","",คะแนนเก็บ!E61)</f>
        <v/>
      </c>
      <c r="D58" t="str">
        <f>IF(คะแนนเก็บ!F61="","",คะแนนเก็บ!F61)</f>
        <v/>
      </c>
      <c r="E58" t="str">
        <f>IF(คะแนนเก็บ!G61="","",คะแนนเก็บ!G61)</f>
        <v/>
      </c>
      <c r="F58" t="str">
        <f>IF(คะแนนเก็บ!H61="","",คะแนนเก็บ!H61)</f>
        <v/>
      </c>
      <c r="G58" t="str">
        <f>IF(คะแนนเก็บ!I61="","",คะแนนเก็บ!I61)</f>
        <v/>
      </c>
      <c r="H58" t="str">
        <f>IF(คะแนนเก็บ!J61="","",คะแนนเก็บ!J61)</f>
        <v/>
      </c>
      <c r="I58" t="str">
        <f>IF(คะแนนเก็บ!K61="","",คะแนนเก็บ!K61)</f>
        <v/>
      </c>
      <c r="J58" t="str">
        <f>IF(คะแนนเก็บ!L61="","",คะแนนเก็บ!L61)</f>
        <v/>
      </c>
      <c r="K58" t="str">
        <f>IF(คะแนนเก็บ!M61="","",คะแนนเก็บ!M61)</f>
        <v/>
      </c>
      <c r="L58" t="str">
        <f>IF(คะแนนเก็บ!N61="","",คะแนนเก็บ!N61)</f>
        <v/>
      </c>
      <c r="M58" t="str">
        <f>IF(คะแนนเก็บ!O61="","",คะแนนเก็บ!O61)</f>
        <v/>
      </c>
      <c r="N58" t="str">
        <f>IF(คะแนนเก็บ!P61="","",คะแนนเก็บ!P61)</f>
        <v/>
      </c>
      <c r="O58" t="str">
        <f>IF(คะแนนเก็บ!Q61="","",คะแนนเก็บ!Q61)</f>
        <v/>
      </c>
      <c r="P58" t="str">
        <f>IF(คะแนนเก็บ!R61="","",คะแนนเก็บ!R61)</f>
        <v/>
      </c>
      <c r="Q58" t="str">
        <f>IF(คะแนนเก็บ!S61="","",คะแนนเก็บ!S61)</f>
        <v/>
      </c>
      <c r="R58" t="str">
        <f>IF(คะแนนเก็บ!T61="","",คะแนนเก็บ!T61)</f>
        <v/>
      </c>
      <c r="S58" t="str">
        <f>IF(คะแนนเก็บ!U61="","",คะแนนเก็บ!U61)</f>
        <v/>
      </c>
      <c r="T58" t="str">
        <f>IF(คะแนนเก็บ!V61="","",คะแนนเก็บ!V61)</f>
        <v/>
      </c>
      <c r="U58" t="str">
        <f>IF(คะแนนเก็บ!W61="","",คะแนนเก็บ!W61)</f>
        <v/>
      </c>
      <c r="V58" t="str">
        <f>IF(คะแนนเก็บหลังกลางภาค!D61="","",คะแนนเก็บหลังกลางภาค!D61)</f>
        <v/>
      </c>
      <c r="W58" t="str">
        <f>IF(คะแนนเก็บหลังกลางภาค!E61="","",คะแนนเก็บหลังกลางภาค!E61)</f>
        <v/>
      </c>
      <c r="X58" t="str">
        <f>IF(คะแนนเก็บหลังกลางภาค!F61="","",คะแนนเก็บหลังกลางภาค!F61)</f>
        <v/>
      </c>
      <c r="Y58" t="str">
        <f>IF(คะแนนเก็บหลังกลางภาค!G61="","",คะแนนเก็บหลังกลางภาค!G61)</f>
        <v/>
      </c>
      <c r="Z58" t="str">
        <f>IF(คะแนนเก็บหลังกลางภาค!H61="","",คะแนนเก็บหลังกลางภาค!H61)</f>
        <v/>
      </c>
      <c r="AA58" t="str">
        <f>IF(คะแนนเก็บหลังกลางภาค!I61="","",คะแนนเก็บหลังกลางภาค!I61)</f>
        <v/>
      </c>
      <c r="AB58" t="str">
        <f>IF(คะแนนเก็บหลังกลางภาค!J61="","",คะแนนเก็บหลังกลางภาค!J61)</f>
        <v/>
      </c>
      <c r="AC58" t="str">
        <f>IF(คะแนนเก็บหลังกลางภาค!K61="","",คะแนนเก็บหลังกลางภาค!K61)</f>
        <v/>
      </c>
      <c r="AD58" t="str">
        <f>IF(คะแนนเก็บหลังกลางภาค!L61="","",คะแนนเก็บหลังกลางภาค!L61)</f>
        <v/>
      </c>
      <c r="AE58" t="str">
        <f>IF(คะแนนเก็บหลังกลางภาค!M61="","",คะแนนเก็บหลังกลางภาค!M61)</f>
        <v/>
      </c>
      <c r="AF58" t="str">
        <f>IF(คะแนนเก็บหลังกลางภาค!N61="","",คะแนนเก็บหลังกลางภาค!N61)</f>
        <v/>
      </c>
      <c r="AG58" t="str">
        <f>IF(คะแนนเก็บหลังกลางภาค!O61="","",คะแนนเก็บหลังกลางภาค!O61)</f>
        <v/>
      </c>
      <c r="AH58" t="str">
        <f>IF(คะแนนเก็บหลังกลางภาค!P61="","",คะแนนเก็บหลังกลางภาค!P61)</f>
        <v/>
      </c>
      <c r="AI58" t="str">
        <f>IF(คะแนนเก็บหลังกลางภาค!Q61="","",คะแนนเก็บหลังกลางภาค!Q61)</f>
        <v/>
      </c>
      <c r="AJ58" t="str">
        <f>IF(คะแนนเก็บหลังกลางภาค!R61="","",คะแนนเก็บหลังกลางภาค!R61)</f>
        <v/>
      </c>
      <c r="AK58" t="str">
        <f>IF(คะแนนเก็บหลังกลางภาค!S61="","",คะแนนเก็บหลังกลางภาค!S61)</f>
        <v/>
      </c>
      <c r="AL58" t="str">
        <f>IF(คะแนนเก็บหลังกลางภาค!T61="","",คะแนนเก็บหลังกลางภาค!T61)</f>
        <v/>
      </c>
      <c r="AM58" t="str">
        <f>IF(คะแนนเก็บหลังกลางภาค!U61="","",คะแนนเก็บหลังกลางภาค!U61)</f>
        <v/>
      </c>
      <c r="AN58" t="str">
        <f>IF(คะแนนเก็บหลังกลางภาค!V61="","",คะแนนเก็บหลังกลางภาค!V61)</f>
        <v/>
      </c>
      <c r="AO58" t="str">
        <f>IF(คะแนนเก็บหลังกลางภาค!W61="","",คะแนนเก็บหลังกลางภาค!W61)</f>
        <v/>
      </c>
      <c r="AP58" t="str">
        <f>IF(คุณลักษณะอันพึงประสงค์!D61="","",คุณลักษณะอันพึงประสงค์!D61)</f>
        <v/>
      </c>
      <c r="AQ58" t="str">
        <f>IF(คุณลักษณะอันพึงประสงค์!E61="","",คุณลักษณะอันพึงประสงค์!E61)</f>
        <v/>
      </c>
      <c r="AR58" t="str">
        <f>IF(คุณลักษณะอันพึงประสงค์!F61="","",คุณลักษณะอันพึงประสงค์!F61)</f>
        <v/>
      </c>
      <c r="AS58" t="str">
        <f>IF(คุณลักษณะอันพึงประสงค์!G61="","",คุณลักษณะอันพึงประสงค์!G61)</f>
        <v/>
      </c>
      <c r="AT58" t="str">
        <f>IF(คุณลักษณะอันพึงประสงค์!H61="","",คุณลักษณะอันพึงประสงค์!H61)</f>
        <v/>
      </c>
      <c r="AU58" t="str">
        <f>IF(คุณลักษณะอันพึงประสงค์!I61="","",คุณลักษณะอันพึงประสงค์!I61)</f>
        <v/>
      </c>
      <c r="AV58" t="str">
        <f>IF(คุณลักษณะอันพึงประสงค์!J61="","",คุณลักษณะอันพึงประสงค์!J61)</f>
        <v/>
      </c>
      <c r="AW58" t="str">
        <f>IF(คุณลักษณะอันพึงประสงค์!K61="","",คุณลักษณะอันพึงประสงค์!K61)</f>
        <v/>
      </c>
      <c r="AX58" t="str">
        <f>IF(คุณลักษณะอันพึงประสงค์!L61="","",คุณลักษณะอันพึงประสงค์!L61)</f>
        <v/>
      </c>
      <c r="AY58" t="str">
        <f>IF(คุณลักษณะอันพึงประสงค์!M61="","",คุณลักษณะอันพึงประสงค์!M61)</f>
        <v/>
      </c>
      <c r="AZ58" t="str">
        <f>IF(กลางภาค!D61="","",กลางภาค!D61)</f>
        <v/>
      </c>
      <c r="BA58" t="str">
        <f>IF(กลางภาค!E61="","",กลางภาค!E61)</f>
        <v/>
      </c>
      <c r="BB58" t="str">
        <f>IF(กลางภาค!F61="","",กลางภาค!F61)</f>
        <v/>
      </c>
      <c r="BC58" t="str">
        <f>IF(กลางภาค!G61="","",กลางภาค!G61)</f>
        <v/>
      </c>
      <c r="BD58" t="str">
        <f>IF(กลางภาค!H61="","",กลางภาค!H61)</f>
        <v/>
      </c>
      <c r="BE58" t="str">
        <f>IF(กลางภาค!I61="","",กลางภาค!I61)</f>
        <v/>
      </c>
      <c r="BF58" t="str">
        <f>IF(กลางภาค!J61="","",กลางภาค!J61)</f>
        <v/>
      </c>
      <c r="BG58" t="str">
        <f>IF(กลางภาค!K61="","",กลางภาค!K61)</f>
        <v/>
      </c>
      <c r="BH58" t="str">
        <f>IF(กลางภาค!L61="","",กลางภาค!L61)</f>
        <v/>
      </c>
      <c r="BI58" t="str">
        <f>IF(กลางภาค!M61="","",กลางภาค!M61)</f>
        <v/>
      </c>
      <c r="BJ58" t="str">
        <f>IF(ปลายภาค!D61="","",ปลายภาค!D61)</f>
        <v/>
      </c>
      <c r="BK58" t="str">
        <f>IF(ปลายภาค!E61="","",ปลายภาค!E61)</f>
        <v/>
      </c>
      <c r="BL58" t="str">
        <f>IF(ปลายภาค!F61="","",ปลายภาค!F61)</f>
        <v/>
      </c>
      <c r="BM58" t="str">
        <f>IF(ปลายภาค!G61="","",ปลายภาค!G61)</f>
        <v/>
      </c>
      <c r="BN58" t="str">
        <f>IF(ปลายภาค!H61="","",ปลายภาค!H61)</f>
        <v/>
      </c>
      <c r="BO58" t="str">
        <f>IF(ปลายภาค!I61="","",ปลายภาค!I61)</f>
        <v/>
      </c>
      <c r="BP58" t="str">
        <f>IF(ปลายภาค!J61="","",ปลายภาค!J61)</f>
        <v/>
      </c>
      <c r="BQ58" t="str">
        <f>IF(ปลายภาค!K61="","",ปลายภาค!K61)</f>
        <v/>
      </c>
      <c r="BR58" t="str">
        <f>IF(ปลายภาค!L61="","",ปลายภาค!L61)</f>
        <v/>
      </c>
      <c r="BS58" t="str">
        <f>IF(ปลายภาค!M61="","",ปลายภาค!M61)</f>
        <v/>
      </c>
      <c r="BT58" t="str">
        <f>IF(กลางภาค!N61="","",กลางภาค!N61)</f>
        <v/>
      </c>
      <c r="BU58" t="str">
        <f>IF(ปลายภาค!N61="","",ปลายภาค!N61)</f>
        <v/>
      </c>
      <c r="BV58" t="str">
        <f>IF(คุณลักษณะอันพึงประสงค์!X61="","",คุณลักษณะอันพึงประสงค์!X61)</f>
        <v/>
      </c>
      <c r="BW58" t="str">
        <f>IF(อ่านคิดวิเคราะห์!I61="","",อ่านคิดวิเคราะห์!I61)</f>
        <v/>
      </c>
      <c r="BX58" t="str">
        <f>IF(สมรรถนะ!N61="","",สมรรถนะ!N61)</f>
        <v/>
      </c>
      <c r="BY58" t="str">
        <f>IF(อ่านคิดวิเคราะห์!D61="","",อ่านคิดวิเคราะห์!D61)</f>
        <v/>
      </c>
      <c r="BZ58" t="str">
        <f>IF(อ่านคิดวิเคราะห์!E61="","",อ่านคิดวิเคราะห์!E61)</f>
        <v/>
      </c>
      <c r="CA58" t="str">
        <f>IF(อ่านคิดวิเคราะห์!F61="","",อ่านคิดวิเคราะห์!F61)</f>
        <v/>
      </c>
      <c r="CB58" t="str">
        <f>IF(อ่านคิดวิเคราะห์!G61="","",อ่านคิดวิเคราะห์!G61)</f>
        <v/>
      </c>
      <c r="CC58" t="str">
        <f>IF(อ่านคิดวิเคราะห์!H61="","",อ่านคิดวิเคราะห์!H61)</f>
        <v/>
      </c>
      <c r="CD58" t="str">
        <f>IF(สมรรถนะ!D61="","",สมรรถนะ!D61)</f>
        <v/>
      </c>
      <c r="CE58" t="str">
        <f>IF(สมรรถนะ!E61="","",สมรรถนะ!E61)</f>
        <v/>
      </c>
      <c r="CF58" t="str">
        <f>IF(สมรรถนะ!F61="","",สมรรถนะ!F61)</f>
        <v/>
      </c>
      <c r="CG58" t="str">
        <f>IF(สมรรถนะ!G61="","",สมรรถนะ!G61)</f>
        <v/>
      </c>
      <c r="CH58" t="str">
        <f>IF(สมรรถนะ!H61="","",สมรรถนะ!H61)</f>
        <v/>
      </c>
      <c r="CI58" t="str">
        <f>IF(สมรรถนะ!I61="","",สมรรถนะ!I61)</f>
        <v/>
      </c>
      <c r="CJ58" t="str">
        <f>IF(สมรรถนะ!J61="","",สมรรถนะ!J61)</f>
        <v/>
      </c>
      <c r="CK58" t="str">
        <f>IF(สมรรถนะ!K61="","",สมรรถนะ!K61)</f>
        <v/>
      </c>
      <c r="CL58" t="str">
        <f>IF(สมรรถนะ!L61="","",สมรรถนะ!L61)</f>
        <v/>
      </c>
      <c r="CM58" t="str">
        <f>IF(สมรรถนะ!M61="","",สมรรถนะ!M61)</f>
        <v/>
      </c>
      <c r="CN58" t="str">
        <f>IF(คุณลักษณะอันพึงประสงค์!N61="","",คุณลักษณะอันพึงประสงค์!N61)</f>
        <v/>
      </c>
      <c r="CO58" t="str">
        <f>IF(คุณลักษณะอันพึงประสงค์!O61="","",คุณลักษณะอันพึงประสงค์!O61)</f>
        <v/>
      </c>
      <c r="CP58" t="str">
        <f>IF(คุณลักษณะอันพึงประสงค์!P61="","",คุณลักษณะอันพึงประสงค์!P61)</f>
        <v/>
      </c>
      <c r="CQ58" t="str">
        <f>IF(คุณลักษณะอันพึงประสงค์!Q61="","",คุณลักษณะอันพึงประสงค์!Q61)</f>
        <v/>
      </c>
      <c r="CR58" t="str">
        <f>IF(คุณลักษณะอันพึงประสงค์!R61="","",คุณลักษณะอันพึงประสงค์!R61)</f>
        <v/>
      </c>
      <c r="CS58" t="str">
        <f>IF(คุณลักษณะอันพึงประสงค์!S61="","",คุณลักษณะอันพึงประสงค์!S61)</f>
        <v/>
      </c>
      <c r="CT58" t="str">
        <f>IF(คุณลักษณะอันพึงประสงค์!T61="","",คุณลักษณะอันพึงประสงค์!T61)</f>
        <v/>
      </c>
      <c r="CU58" t="str">
        <f>IF(คุณลักษณะอันพึงประสงค์!U61="","",คุณลักษณะอันพึงประสงค์!U61)</f>
        <v/>
      </c>
      <c r="CV58" t="str">
        <f>IF(คุณลักษณะอันพึงประสงค์!V61="","",คุณลักษณะอันพึงประสงค์!V61)</f>
        <v/>
      </c>
      <c r="CW58" t="str">
        <f>IF(คุณลักษณะอันพึงประสงค์!W61="","",คุณลักษณะอันพึงประสงค์!W61)</f>
        <v/>
      </c>
    </row>
    <row r="59" spans="1:101">
      <c r="A59" t="str">
        <f>IF(คะแนนเก็บ!B62="","",คะแนนเก็บ!B62)</f>
        <v/>
      </c>
      <c r="B59" t="str">
        <f>IF(คะแนนเก็บ!D62="","",คะแนนเก็บ!D62)</f>
        <v/>
      </c>
      <c r="C59" t="str">
        <f>IF(คะแนนเก็บ!E62="","",คะแนนเก็บ!E62)</f>
        <v/>
      </c>
      <c r="D59" t="str">
        <f>IF(คะแนนเก็บ!F62="","",คะแนนเก็บ!F62)</f>
        <v/>
      </c>
      <c r="E59" t="str">
        <f>IF(คะแนนเก็บ!G62="","",คะแนนเก็บ!G62)</f>
        <v/>
      </c>
      <c r="F59" t="str">
        <f>IF(คะแนนเก็บ!H62="","",คะแนนเก็บ!H62)</f>
        <v/>
      </c>
      <c r="G59" t="str">
        <f>IF(คะแนนเก็บ!I62="","",คะแนนเก็บ!I62)</f>
        <v/>
      </c>
      <c r="H59" t="str">
        <f>IF(คะแนนเก็บ!J62="","",คะแนนเก็บ!J62)</f>
        <v/>
      </c>
      <c r="I59" t="str">
        <f>IF(คะแนนเก็บ!K62="","",คะแนนเก็บ!K62)</f>
        <v/>
      </c>
      <c r="J59" t="str">
        <f>IF(คะแนนเก็บ!L62="","",คะแนนเก็บ!L62)</f>
        <v/>
      </c>
      <c r="K59" t="str">
        <f>IF(คะแนนเก็บ!M62="","",คะแนนเก็บ!M62)</f>
        <v/>
      </c>
      <c r="L59" t="str">
        <f>IF(คะแนนเก็บ!N62="","",คะแนนเก็บ!N62)</f>
        <v/>
      </c>
      <c r="M59" t="str">
        <f>IF(คะแนนเก็บ!O62="","",คะแนนเก็บ!O62)</f>
        <v/>
      </c>
      <c r="N59" t="str">
        <f>IF(คะแนนเก็บ!P62="","",คะแนนเก็บ!P62)</f>
        <v/>
      </c>
      <c r="O59" t="str">
        <f>IF(คะแนนเก็บ!Q62="","",คะแนนเก็บ!Q62)</f>
        <v/>
      </c>
      <c r="P59" t="str">
        <f>IF(คะแนนเก็บ!R62="","",คะแนนเก็บ!R62)</f>
        <v/>
      </c>
      <c r="Q59" t="str">
        <f>IF(คะแนนเก็บ!S62="","",คะแนนเก็บ!S62)</f>
        <v/>
      </c>
      <c r="R59" t="str">
        <f>IF(คะแนนเก็บ!T62="","",คะแนนเก็บ!T62)</f>
        <v/>
      </c>
      <c r="S59" t="str">
        <f>IF(คะแนนเก็บ!U62="","",คะแนนเก็บ!U62)</f>
        <v/>
      </c>
      <c r="T59" t="str">
        <f>IF(คะแนนเก็บ!V62="","",คะแนนเก็บ!V62)</f>
        <v/>
      </c>
      <c r="U59" t="str">
        <f>IF(คะแนนเก็บ!W62="","",คะแนนเก็บ!W62)</f>
        <v/>
      </c>
      <c r="V59" t="str">
        <f>IF(คะแนนเก็บหลังกลางภาค!D62="","",คะแนนเก็บหลังกลางภาค!D62)</f>
        <v/>
      </c>
      <c r="W59" t="str">
        <f>IF(คะแนนเก็บหลังกลางภาค!E62="","",คะแนนเก็บหลังกลางภาค!E62)</f>
        <v/>
      </c>
      <c r="X59" t="str">
        <f>IF(คะแนนเก็บหลังกลางภาค!F62="","",คะแนนเก็บหลังกลางภาค!F62)</f>
        <v/>
      </c>
      <c r="Y59" t="str">
        <f>IF(คะแนนเก็บหลังกลางภาค!G62="","",คะแนนเก็บหลังกลางภาค!G62)</f>
        <v/>
      </c>
      <c r="Z59" t="str">
        <f>IF(คะแนนเก็บหลังกลางภาค!H62="","",คะแนนเก็บหลังกลางภาค!H62)</f>
        <v/>
      </c>
      <c r="AA59" t="str">
        <f>IF(คะแนนเก็บหลังกลางภาค!I62="","",คะแนนเก็บหลังกลางภาค!I62)</f>
        <v/>
      </c>
      <c r="AB59" t="str">
        <f>IF(คะแนนเก็บหลังกลางภาค!J62="","",คะแนนเก็บหลังกลางภาค!J62)</f>
        <v/>
      </c>
      <c r="AC59" t="str">
        <f>IF(คะแนนเก็บหลังกลางภาค!K62="","",คะแนนเก็บหลังกลางภาค!K62)</f>
        <v/>
      </c>
      <c r="AD59" t="str">
        <f>IF(คะแนนเก็บหลังกลางภาค!L62="","",คะแนนเก็บหลังกลางภาค!L62)</f>
        <v/>
      </c>
      <c r="AE59" t="str">
        <f>IF(คะแนนเก็บหลังกลางภาค!M62="","",คะแนนเก็บหลังกลางภาค!M62)</f>
        <v/>
      </c>
      <c r="AF59" t="str">
        <f>IF(คะแนนเก็บหลังกลางภาค!N62="","",คะแนนเก็บหลังกลางภาค!N62)</f>
        <v/>
      </c>
      <c r="AG59" t="str">
        <f>IF(คะแนนเก็บหลังกลางภาค!O62="","",คะแนนเก็บหลังกลางภาค!O62)</f>
        <v/>
      </c>
      <c r="AH59" t="str">
        <f>IF(คะแนนเก็บหลังกลางภาค!P62="","",คะแนนเก็บหลังกลางภาค!P62)</f>
        <v/>
      </c>
      <c r="AI59" t="str">
        <f>IF(คะแนนเก็บหลังกลางภาค!Q62="","",คะแนนเก็บหลังกลางภาค!Q62)</f>
        <v/>
      </c>
      <c r="AJ59" t="str">
        <f>IF(คะแนนเก็บหลังกลางภาค!R62="","",คะแนนเก็บหลังกลางภาค!R62)</f>
        <v/>
      </c>
      <c r="AK59" t="str">
        <f>IF(คะแนนเก็บหลังกลางภาค!S62="","",คะแนนเก็บหลังกลางภาค!S62)</f>
        <v/>
      </c>
      <c r="AL59" t="str">
        <f>IF(คะแนนเก็บหลังกลางภาค!T62="","",คะแนนเก็บหลังกลางภาค!T62)</f>
        <v/>
      </c>
      <c r="AM59" t="str">
        <f>IF(คะแนนเก็บหลังกลางภาค!U62="","",คะแนนเก็บหลังกลางภาค!U62)</f>
        <v/>
      </c>
      <c r="AN59" t="str">
        <f>IF(คะแนนเก็บหลังกลางภาค!V62="","",คะแนนเก็บหลังกลางภาค!V62)</f>
        <v/>
      </c>
      <c r="AO59" t="str">
        <f>IF(คะแนนเก็บหลังกลางภาค!W62="","",คะแนนเก็บหลังกลางภาค!W62)</f>
        <v/>
      </c>
      <c r="AP59" t="str">
        <f>IF(คุณลักษณะอันพึงประสงค์!D62="","",คุณลักษณะอันพึงประสงค์!D62)</f>
        <v/>
      </c>
      <c r="AQ59" t="str">
        <f>IF(คุณลักษณะอันพึงประสงค์!E62="","",คุณลักษณะอันพึงประสงค์!E62)</f>
        <v/>
      </c>
      <c r="AR59" t="str">
        <f>IF(คุณลักษณะอันพึงประสงค์!F62="","",คุณลักษณะอันพึงประสงค์!F62)</f>
        <v/>
      </c>
      <c r="AS59" t="str">
        <f>IF(คุณลักษณะอันพึงประสงค์!G62="","",คุณลักษณะอันพึงประสงค์!G62)</f>
        <v/>
      </c>
      <c r="AT59" t="str">
        <f>IF(คุณลักษณะอันพึงประสงค์!H62="","",คุณลักษณะอันพึงประสงค์!H62)</f>
        <v/>
      </c>
      <c r="AU59" t="str">
        <f>IF(คุณลักษณะอันพึงประสงค์!I62="","",คุณลักษณะอันพึงประสงค์!I62)</f>
        <v/>
      </c>
      <c r="AV59" t="str">
        <f>IF(คุณลักษณะอันพึงประสงค์!J62="","",คุณลักษณะอันพึงประสงค์!J62)</f>
        <v/>
      </c>
      <c r="AW59" t="str">
        <f>IF(คุณลักษณะอันพึงประสงค์!K62="","",คุณลักษณะอันพึงประสงค์!K62)</f>
        <v/>
      </c>
      <c r="AX59" t="str">
        <f>IF(คุณลักษณะอันพึงประสงค์!L62="","",คุณลักษณะอันพึงประสงค์!L62)</f>
        <v/>
      </c>
      <c r="AY59" t="str">
        <f>IF(คุณลักษณะอันพึงประสงค์!M62="","",คุณลักษณะอันพึงประสงค์!M62)</f>
        <v/>
      </c>
      <c r="AZ59" t="str">
        <f>IF(กลางภาค!D62="","",กลางภาค!D62)</f>
        <v/>
      </c>
      <c r="BA59" t="str">
        <f>IF(กลางภาค!E62="","",กลางภาค!E62)</f>
        <v/>
      </c>
      <c r="BB59" t="str">
        <f>IF(กลางภาค!F62="","",กลางภาค!F62)</f>
        <v/>
      </c>
      <c r="BC59" t="str">
        <f>IF(กลางภาค!G62="","",กลางภาค!G62)</f>
        <v/>
      </c>
      <c r="BD59" t="str">
        <f>IF(กลางภาค!H62="","",กลางภาค!H62)</f>
        <v/>
      </c>
      <c r="BE59" t="str">
        <f>IF(กลางภาค!I62="","",กลางภาค!I62)</f>
        <v/>
      </c>
      <c r="BF59" t="str">
        <f>IF(กลางภาค!J62="","",กลางภาค!J62)</f>
        <v/>
      </c>
      <c r="BG59" t="str">
        <f>IF(กลางภาค!K62="","",กลางภาค!K62)</f>
        <v/>
      </c>
      <c r="BH59" t="str">
        <f>IF(กลางภาค!L62="","",กลางภาค!L62)</f>
        <v/>
      </c>
      <c r="BI59" t="str">
        <f>IF(กลางภาค!M62="","",กลางภาค!M62)</f>
        <v/>
      </c>
      <c r="BJ59" t="str">
        <f>IF(ปลายภาค!D62="","",ปลายภาค!D62)</f>
        <v/>
      </c>
      <c r="BK59" t="str">
        <f>IF(ปลายภาค!E62="","",ปลายภาค!E62)</f>
        <v/>
      </c>
      <c r="BL59" t="str">
        <f>IF(ปลายภาค!F62="","",ปลายภาค!F62)</f>
        <v/>
      </c>
      <c r="BM59" t="str">
        <f>IF(ปลายภาค!G62="","",ปลายภาค!G62)</f>
        <v/>
      </c>
      <c r="BN59" t="str">
        <f>IF(ปลายภาค!H62="","",ปลายภาค!H62)</f>
        <v/>
      </c>
      <c r="BO59" t="str">
        <f>IF(ปลายภาค!I62="","",ปลายภาค!I62)</f>
        <v/>
      </c>
      <c r="BP59" t="str">
        <f>IF(ปลายภาค!J62="","",ปลายภาค!J62)</f>
        <v/>
      </c>
      <c r="BQ59" t="str">
        <f>IF(ปลายภาค!K62="","",ปลายภาค!K62)</f>
        <v/>
      </c>
      <c r="BR59" t="str">
        <f>IF(ปลายภาค!L62="","",ปลายภาค!L62)</f>
        <v/>
      </c>
      <c r="BS59" t="str">
        <f>IF(ปลายภาค!M62="","",ปลายภาค!M62)</f>
        <v/>
      </c>
      <c r="BT59" t="str">
        <f>IF(กลางภาค!N62="","",กลางภาค!N62)</f>
        <v/>
      </c>
      <c r="BU59" t="str">
        <f>IF(ปลายภาค!N62="","",ปลายภาค!N62)</f>
        <v/>
      </c>
      <c r="BV59" t="str">
        <f>IF(คุณลักษณะอันพึงประสงค์!X62="","",คุณลักษณะอันพึงประสงค์!X62)</f>
        <v/>
      </c>
      <c r="BW59" t="str">
        <f>IF(อ่านคิดวิเคราะห์!I62="","",อ่านคิดวิเคราะห์!I62)</f>
        <v/>
      </c>
      <c r="BX59" t="str">
        <f>IF(สมรรถนะ!N62="","",สมรรถนะ!N62)</f>
        <v/>
      </c>
      <c r="BY59" t="str">
        <f>IF(อ่านคิดวิเคราะห์!D62="","",อ่านคิดวิเคราะห์!D62)</f>
        <v/>
      </c>
      <c r="BZ59" t="str">
        <f>IF(อ่านคิดวิเคราะห์!E62="","",อ่านคิดวิเคราะห์!E62)</f>
        <v/>
      </c>
      <c r="CA59" t="str">
        <f>IF(อ่านคิดวิเคราะห์!F62="","",อ่านคิดวิเคราะห์!F62)</f>
        <v/>
      </c>
      <c r="CB59" t="str">
        <f>IF(อ่านคิดวิเคราะห์!G62="","",อ่านคิดวิเคราะห์!G62)</f>
        <v/>
      </c>
      <c r="CC59" t="str">
        <f>IF(อ่านคิดวิเคราะห์!H62="","",อ่านคิดวิเคราะห์!H62)</f>
        <v/>
      </c>
      <c r="CD59" t="str">
        <f>IF(สมรรถนะ!D62="","",สมรรถนะ!D62)</f>
        <v/>
      </c>
      <c r="CE59" t="str">
        <f>IF(สมรรถนะ!E62="","",สมรรถนะ!E62)</f>
        <v/>
      </c>
      <c r="CF59" t="str">
        <f>IF(สมรรถนะ!F62="","",สมรรถนะ!F62)</f>
        <v/>
      </c>
      <c r="CG59" t="str">
        <f>IF(สมรรถนะ!G62="","",สมรรถนะ!G62)</f>
        <v/>
      </c>
      <c r="CH59" t="str">
        <f>IF(สมรรถนะ!H62="","",สมรรถนะ!H62)</f>
        <v/>
      </c>
      <c r="CI59" t="str">
        <f>IF(สมรรถนะ!I62="","",สมรรถนะ!I62)</f>
        <v/>
      </c>
      <c r="CJ59" t="str">
        <f>IF(สมรรถนะ!J62="","",สมรรถนะ!J62)</f>
        <v/>
      </c>
      <c r="CK59" t="str">
        <f>IF(สมรรถนะ!K62="","",สมรรถนะ!K62)</f>
        <v/>
      </c>
      <c r="CL59" t="str">
        <f>IF(สมรรถนะ!L62="","",สมรรถนะ!L62)</f>
        <v/>
      </c>
      <c r="CM59" t="str">
        <f>IF(สมรรถนะ!M62="","",สมรรถนะ!M62)</f>
        <v/>
      </c>
      <c r="CN59" t="str">
        <f>IF(คุณลักษณะอันพึงประสงค์!N62="","",คุณลักษณะอันพึงประสงค์!N62)</f>
        <v/>
      </c>
      <c r="CO59" t="str">
        <f>IF(คุณลักษณะอันพึงประสงค์!O62="","",คุณลักษณะอันพึงประสงค์!O62)</f>
        <v/>
      </c>
      <c r="CP59" t="str">
        <f>IF(คุณลักษณะอันพึงประสงค์!P62="","",คุณลักษณะอันพึงประสงค์!P62)</f>
        <v/>
      </c>
      <c r="CQ59" t="str">
        <f>IF(คุณลักษณะอันพึงประสงค์!Q62="","",คุณลักษณะอันพึงประสงค์!Q62)</f>
        <v/>
      </c>
      <c r="CR59" t="str">
        <f>IF(คุณลักษณะอันพึงประสงค์!R62="","",คุณลักษณะอันพึงประสงค์!R62)</f>
        <v/>
      </c>
      <c r="CS59" t="str">
        <f>IF(คุณลักษณะอันพึงประสงค์!S62="","",คุณลักษณะอันพึงประสงค์!S62)</f>
        <v/>
      </c>
      <c r="CT59" t="str">
        <f>IF(คุณลักษณะอันพึงประสงค์!T62="","",คุณลักษณะอันพึงประสงค์!T62)</f>
        <v/>
      </c>
      <c r="CU59" t="str">
        <f>IF(คุณลักษณะอันพึงประสงค์!U62="","",คุณลักษณะอันพึงประสงค์!U62)</f>
        <v/>
      </c>
      <c r="CV59" t="str">
        <f>IF(คุณลักษณะอันพึงประสงค์!V62="","",คุณลักษณะอันพึงประสงค์!V62)</f>
        <v/>
      </c>
      <c r="CW59" t="str">
        <f>IF(คุณลักษณะอันพึงประสงค์!W62="","",คุณลักษณะอันพึงประสงค์!W62)</f>
        <v/>
      </c>
    </row>
    <row r="60" spans="1:101">
      <c r="A60" t="str">
        <f>IF(คะแนนเก็บ!B63="","",คะแนนเก็บ!B63)</f>
        <v/>
      </c>
      <c r="B60" t="str">
        <f>IF(คะแนนเก็บ!D63="","",คะแนนเก็บ!D63)</f>
        <v/>
      </c>
      <c r="C60" t="str">
        <f>IF(คะแนนเก็บ!E63="","",คะแนนเก็บ!E63)</f>
        <v/>
      </c>
      <c r="D60" t="str">
        <f>IF(คะแนนเก็บ!F63="","",คะแนนเก็บ!F63)</f>
        <v/>
      </c>
      <c r="E60" t="str">
        <f>IF(คะแนนเก็บ!G63="","",คะแนนเก็บ!G63)</f>
        <v/>
      </c>
      <c r="F60" t="str">
        <f>IF(คะแนนเก็บ!H63="","",คะแนนเก็บ!H63)</f>
        <v/>
      </c>
      <c r="G60" t="str">
        <f>IF(คะแนนเก็บ!I63="","",คะแนนเก็บ!I63)</f>
        <v/>
      </c>
      <c r="H60" t="str">
        <f>IF(คะแนนเก็บ!J63="","",คะแนนเก็บ!J63)</f>
        <v/>
      </c>
      <c r="I60" t="str">
        <f>IF(คะแนนเก็บ!K63="","",คะแนนเก็บ!K63)</f>
        <v/>
      </c>
      <c r="J60" t="str">
        <f>IF(คะแนนเก็บ!L63="","",คะแนนเก็บ!L63)</f>
        <v/>
      </c>
      <c r="K60" t="str">
        <f>IF(คะแนนเก็บ!M63="","",คะแนนเก็บ!M63)</f>
        <v/>
      </c>
      <c r="L60" t="str">
        <f>IF(คะแนนเก็บ!N63="","",คะแนนเก็บ!N63)</f>
        <v/>
      </c>
      <c r="M60" t="str">
        <f>IF(คะแนนเก็บ!O63="","",คะแนนเก็บ!O63)</f>
        <v/>
      </c>
      <c r="N60" t="str">
        <f>IF(คะแนนเก็บ!P63="","",คะแนนเก็บ!P63)</f>
        <v/>
      </c>
      <c r="O60" t="str">
        <f>IF(คะแนนเก็บ!Q63="","",คะแนนเก็บ!Q63)</f>
        <v/>
      </c>
      <c r="P60" t="str">
        <f>IF(คะแนนเก็บ!R63="","",คะแนนเก็บ!R63)</f>
        <v/>
      </c>
      <c r="Q60" t="str">
        <f>IF(คะแนนเก็บ!S63="","",คะแนนเก็บ!S63)</f>
        <v/>
      </c>
      <c r="R60" t="str">
        <f>IF(คะแนนเก็บ!T63="","",คะแนนเก็บ!T63)</f>
        <v/>
      </c>
      <c r="S60" t="str">
        <f>IF(คะแนนเก็บ!U63="","",คะแนนเก็บ!U63)</f>
        <v/>
      </c>
      <c r="T60" t="str">
        <f>IF(คะแนนเก็บ!V63="","",คะแนนเก็บ!V63)</f>
        <v/>
      </c>
      <c r="U60" t="str">
        <f>IF(คะแนนเก็บ!W63="","",คะแนนเก็บ!W63)</f>
        <v/>
      </c>
      <c r="V60" t="str">
        <f>IF(คะแนนเก็บหลังกลางภาค!D63="","",คะแนนเก็บหลังกลางภาค!D63)</f>
        <v/>
      </c>
      <c r="W60" t="str">
        <f>IF(คะแนนเก็บหลังกลางภาค!E63="","",คะแนนเก็บหลังกลางภาค!E63)</f>
        <v/>
      </c>
      <c r="X60" t="str">
        <f>IF(คะแนนเก็บหลังกลางภาค!F63="","",คะแนนเก็บหลังกลางภาค!F63)</f>
        <v/>
      </c>
      <c r="Y60" t="str">
        <f>IF(คะแนนเก็บหลังกลางภาค!G63="","",คะแนนเก็บหลังกลางภาค!G63)</f>
        <v/>
      </c>
      <c r="Z60" t="str">
        <f>IF(คะแนนเก็บหลังกลางภาค!H63="","",คะแนนเก็บหลังกลางภาค!H63)</f>
        <v/>
      </c>
      <c r="AA60" t="str">
        <f>IF(คะแนนเก็บหลังกลางภาค!I63="","",คะแนนเก็บหลังกลางภาค!I63)</f>
        <v/>
      </c>
      <c r="AB60" t="str">
        <f>IF(คะแนนเก็บหลังกลางภาค!J63="","",คะแนนเก็บหลังกลางภาค!J63)</f>
        <v/>
      </c>
      <c r="AC60" t="str">
        <f>IF(คะแนนเก็บหลังกลางภาค!K63="","",คะแนนเก็บหลังกลางภาค!K63)</f>
        <v/>
      </c>
      <c r="AD60" t="str">
        <f>IF(คะแนนเก็บหลังกลางภาค!L63="","",คะแนนเก็บหลังกลางภาค!L63)</f>
        <v/>
      </c>
      <c r="AE60" t="str">
        <f>IF(คะแนนเก็บหลังกลางภาค!M63="","",คะแนนเก็บหลังกลางภาค!M63)</f>
        <v/>
      </c>
      <c r="AF60" t="str">
        <f>IF(คะแนนเก็บหลังกลางภาค!N63="","",คะแนนเก็บหลังกลางภาค!N63)</f>
        <v/>
      </c>
      <c r="AG60" t="str">
        <f>IF(คะแนนเก็บหลังกลางภาค!O63="","",คะแนนเก็บหลังกลางภาค!O63)</f>
        <v/>
      </c>
      <c r="AH60" t="str">
        <f>IF(คะแนนเก็บหลังกลางภาค!P63="","",คะแนนเก็บหลังกลางภาค!P63)</f>
        <v/>
      </c>
      <c r="AI60" t="str">
        <f>IF(คะแนนเก็บหลังกลางภาค!Q63="","",คะแนนเก็บหลังกลางภาค!Q63)</f>
        <v/>
      </c>
      <c r="AJ60" t="str">
        <f>IF(คะแนนเก็บหลังกลางภาค!R63="","",คะแนนเก็บหลังกลางภาค!R63)</f>
        <v/>
      </c>
      <c r="AK60" t="str">
        <f>IF(คะแนนเก็บหลังกลางภาค!S63="","",คะแนนเก็บหลังกลางภาค!S63)</f>
        <v/>
      </c>
      <c r="AL60" t="str">
        <f>IF(คะแนนเก็บหลังกลางภาค!T63="","",คะแนนเก็บหลังกลางภาค!T63)</f>
        <v/>
      </c>
      <c r="AM60" t="str">
        <f>IF(คะแนนเก็บหลังกลางภาค!U63="","",คะแนนเก็บหลังกลางภาค!U63)</f>
        <v/>
      </c>
      <c r="AN60" t="str">
        <f>IF(คะแนนเก็บหลังกลางภาค!V63="","",คะแนนเก็บหลังกลางภาค!V63)</f>
        <v/>
      </c>
      <c r="AO60" t="str">
        <f>IF(คะแนนเก็บหลังกลางภาค!W63="","",คะแนนเก็บหลังกลางภาค!W63)</f>
        <v/>
      </c>
      <c r="AP60" t="str">
        <f>IF(คุณลักษณะอันพึงประสงค์!D63="","",คุณลักษณะอันพึงประสงค์!D63)</f>
        <v/>
      </c>
      <c r="AQ60" t="str">
        <f>IF(คุณลักษณะอันพึงประสงค์!E63="","",คุณลักษณะอันพึงประสงค์!E63)</f>
        <v/>
      </c>
      <c r="AR60" t="str">
        <f>IF(คุณลักษณะอันพึงประสงค์!F63="","",คุณลักษณะอันพึงประสงค์!F63)</f>
        <v/>
      </c>
      <c r="AS60" t="str">
        <f>IF(คุณลักษณะอันพึงประสงค์!G63="","",คุณลักษณะอันพึงประสงค์!G63)</f>
        <v/>
      </c>
      <c r="AT60" t="str">
        <f>IF(คุณลักษณะอันพึงประสงค์!H63="","",คุณลักษณะอันพึงประสงค์!H63)</f>
        <v/>
      </c>
      <c r="AU60" t="str">
        <f>IF(คุณลักษณะอันพึงประสงค์!I63="","",คุณลักษณะอันพึงประสงค์!I63)</f>
        <v/>
      </c>
      <c r="AV60" t="str">
        <f>IF(คุณลักษณะอันพึงประสงค์!J63="","",คุณลักษณะอันพึงประสงค์!J63)</f>
        <v/>
      </c>
      <c r="AW60" t="str">
        <f>IF(คุณลักษณะอันพึงประสงค์!K63="","",คุณลักษณะอันพึงประสงค์!K63)</f>
        <v/>
      </c>
      <c r="AX60" t="str">
        <f>IF(คุณลักษณะอันพึงประสงค์!L63="","",คุณลักษณะอันพึงประสงค์!L63)</f>
        <v/>
      </c>
      <c r="AY60" t="str">
        <f>IF(คุณลักษณะอันพึงประสงค์!M63="","",คุณลักษณะอันพึงประสงค์!M63)</f>
        <v/>
      </c>
      <c r="AZ60" t="str">
        <f>IF(กลางภาค!D63="","",กลางภาค!D63)</f>
        <v/>
      </c>
      <c r="BA60" t="str">
        <f>IF(กลางภาค!E63="","",กลางภาค!E63)</f>
        <v/>
      </c>
      <c r="BB60" t="str">
        <f>IF(กลางภาค!F63="","",กลางภาค!F63)</f>
        <v/>
      </c>
      <c r="BC60" t="str">
        <f>IF(กลางภาค!G63="","",กลางภาค!G63)</f>
        <v/>
      </c>
      <c r="BD60" t="str">
        <f>IF(กลางภาค!H63="","",กลางภาค!H63)</f>
        <v/>
      </c>
      <c r="BE60" t="str">
        <f>IF(กลางภาค!I63="","",กลางภาค!I63)</f>
        <v/>
      </c>
      <c r="BF60" t="str">
        <f>IF(กลางภาค!J63="","",กลางภาค!J63)</f>
        <v/>
      </c>
      <c r="BG60" t="str">
        <f>IF(กลางภาค!K63="","",กลางภาค!K63)</f>
        <v/>
      </c>
      <c r="BH60" t="str">
        <f>IF(กลางภาค!L63="","",กลางภาค!L63)</f>
        <v/>
      </c>
      <c r="BI60" t="str">
        <f>IF(กลางภาค!M63="","",กลางภาค!M63)</f>
        <v/>
      </c>
      <c r="BJ60" t="str">
        <f>IF(ปลายภาค!D63="","",ปลายภาค!D63)</f>
        <v/>
      </c>
      <c r="BK60" t="str">
        <f>IF(ปลายภาค!E63="","",ปลายภาค!E63)</f>
        <v/>
      </c>
      <c r="BL60" t="str">
        <f>IF(ปลายภาค!F63="","",ปลายภาค!F63)</f>
        <v/>
      </c>
      <c r="BM60" t="str">
        <f>IF(ปลายภาค!G63="","",ปลายภาค!G63)</f>
        <v/>
      </c>
      <c r="BN60" t="str">
        <f>IF(ปลายภาค!H63="","",ปลายภาค!H63)</f>
        <v/>
      </c>
      <c r="BO60" t="str">
        <f>IF(ปลายภาค!I63="","",ปลายภาค!I63)</f>
        <v/>
      </c>
      <c r="BP60" t="str">
        <f>IF(ปลายภาค!J63="","",ปลายภาค!J63)</f>
        <v/>
      </c>
      <c r="BQ60" t="str">
        <f>IF(ปลายภาค!K63="","",ปลายภาค!K63)</f>
        <v/>
      </c>
      <c r="BR60" t="str">
        <f>IF(ปลายภาค!L63="","",ปลายภาค!L63)</f>
        <v/>
      </c>
      <c r="BS60" t="str">
        <f>IF(ปลายภาค!M63="","",ปลายภาค!M63)</f>
        <v/>
      </c>
      <c r="BT60" t="str">
        <f>IF(กลางภาค!N63="","",กลางภาค!N63)</f>
        <v/>
      </c>
      <c r="BU60" t="str">
        <f>IF(ปลายภาค!N63="","",ปลายภาค!N63)</f>
        <v/>
      </c>
      <c r="BV60" t="str">
        <f>IF(คุณลักษณะอันพึงประสงค์!X63="","",คุณลักษณะอันพึงประสงค์!X63)</f>
        <v/>
      </c>
      <c r="BW60" t="str">
        <f>IF(อ่านคิดวิเคราะห์!I63="","",อ่านคิดวิเคราะห์!I63)</f>
        <v/>
      </c>
      <c r="BX60" t="str">
        <f>IF(สมรรถนะ!N63="","",สมรรถนะ!N63)</f>
        <v/>
      </c>
      <c r="BY60" t="str">
        <f>IF(อ่านคิดวิเคราะห์!D63="","",อ่านคิดวิเคราะห์!D63)</f>
        <v/>
      </c>
      <c r="BZ60" t="str">
        <f>IF(อ่านคิดวิเคราะห์!E63="","",อ่านคิดวิเคราะห์!E63)</f>
        <v/>
      </c>
      <c r="CA60" t="str">
        <f>IF(อ่านคิดวิเคราะห์!F63="","",อ่านคิดวิเคราะห์!F63)</f>
        <v/>
      </c>
      <c r="CB60" t="str">
        <f>IF(อ่านคิดวิเคราะห์!G63="","",อ่านคิดวิเคราะห์!G63)</f>
        <v/>
      </c>
      <c r="CC60" t="str">
        <f>IF(อ่านคิดวิเคราะห์!H63="","",อ่านคิดวิเคราะห์!H63)</f>
        <v/>
      </c>
      <c r="CD60" t="str">
        <f>IF(สมรรถนะ!D63="","",สมรรถนะ!D63)</f>
        <v/>
      </c>
      <c r="CE60" t="str">
        <f>IF(สมรรถนะ!E63="","",สมรรถนะ!E63)</f>
        <v/>
      </c>
      <c r="CF60" t="str">
        <f>IF(สมรรถนะ!F63="","",สมรรถนะ!F63)</f>
        <v/>
      </c>
      <c r="CG60" t="str">
        <f>IF(สมรรถนะ!G63="","",สมรรถนะ!G63)</f>
        <v/>
      </c>
      <c r="CH60" t="str">
        <f>IF(สมรรถนะ!H63="","",สมรรถนะ!H63)</f>
        <v/>
      </c>
      <c r="CI60" t="str">
        <f>IF(สมรรถนะ!I63="","",สมรรถนะ!I63)</f>
        <v/>
      </c>
      <c r="CJ60" t="str">
        <f>IF(สมรรถนะ!J63="","",สมรรถนะ!J63)</f>
        <v/>
      </c>
      <c r="CK60" t="str">
        <f>IF(สมรรถนะ!K63="","",สมรรถนะ!K63)</f>
        <v/>
      </c>
      <c r="CL60" t="str">
        <f>IF(สมรรถนะ!L63="","",สมรรถนะ!L63)</f>
        <v/>
      </c>
      <c r="CM60" t="str">
        <f>IF(สมรรถนะ!M63="","",สมรรถนะ!M63)</f>
        <v/>
      </c>
      <c r="CN60" t="str">
        <f>IF(คุณลักษณะอันพึงประสงค์!N63="","",คุณลักษณะอันพึงประสงค์!N63)</f>
        <v/>
      </c>
      <c r="CO60" t="str">
        <f>IF(คุณลักษณะอันพึงประสงค์!O63="","",คุณลักษณะอันพึงประสงค์!O63)</f>
        <v/>
      </c>
      <c r="CP60" t="str">
        <f>IF(คุณลักษณะอันพึงประสงค์!P63="","",คุณลักษณะอันพึงประสงค์!P63)</f>
        <v/>
      </c>
      <c r="CQ60" t="str">
        <f>IF(คุณลักษณะอันพึงประสงค์!Q63="","",คุณลักษณะอันพึงประสงค์!Q63)</f>
        <v/>
      </c>
      <c r="CR60" t="str">
        <f>IF(คุณลักษณะอันพึงประสงค์!R63="","",คุณลักษณะอันพึงประสงค์!R63)</f>
        <v/>
      </c>
      <c r="CS60" t="str">
        <f>IF(คุณลักษณะอันพึงประสงค์!S63="","",คุณลักษณะอันพึงประสงค์!S63)</f>
        <v/>
      </c>
      <c r="CT60" t="str">
        <f>IF(คุณลักษณะอันพึงประสงค์!T63="","",คุณลักษณะอันพึงประสงค์!T63)</f>
        <v/>
      </c>
      <c r="CU60" t="str">
        <f>IF(คุณลักษณะอันพึงประสงค์!U63="","",คุณลักษณะอันพึงประสงค์!U63)</f>
        <v/>
      </c>
      <c r="CV60" t="str">
        <f>IF(คุณลักษณะอันพึงประสงค์!V63="","",คุณลักษณะอันพึงประสงค์!V63)</f>
        <v/>
      </c>
      <c r="CW60" t="str">
        <f>IF(คุณลักษณะอันพึงประสงค์!W63="","",คุณลักษณะอันพึงประสงค์!W63)</f>
        <v/>
      </c>
    </row>
    <row r="61" spans="1:101">
      <c r="A61" t="str">
        <f>IF(คะแนนเก็บ!B64="","",คะแนนเก็บ!B64)</f>
        <v/>
      </c>
      <c r="B61" t="str">
        <f>IF(คะแนนเก็บ!D64="","",คะแนนเก็บ!D64)</f>
        <v/>
      </c>
      <c r="C61" t="str">
        <f>IF(คะแนนเก็บ!E64="","",คะแนนเก็บ!E64)</f>
        <v/>
      </c>
      <c r="D61" t="str">
        <f>IF(คะแนนเก็บ!F64="","",คะแนนเก็บ!F64)</f>
        <v/>
      </c>
      <c r="E61" t="str">
        <f>IF(คะแนนเก็บ!G64="","",คะแนนเก็บ!G64)</f>
        <v/>
      </c>
      <c r="F61" t="str">
        <f>IF(คะแนนเก็บ!H64="","",คะแนนเก็บ!H64)</f>
        <v/>
      </c>
      <c r="G61" t="str">
        <f>IF(คะแนนเก็บ!I64="","",คะแนนเก็บ!I64)</f>
        <v/>
      </c>
      <c r="H61" t="str">
        <f>IF(คะแนนเก็บ!J64="","",คะแนนเก็บ!J64)</f>
        <v/>
      </c>
      <c r="I61" t="str">
        <f>IF(คะแนนเก็บ!K64="","",คะแนนเก็บ!K64)</f>
        <v/>
      </c>
      <c r="J61" t="str">
        <f>IF(คะแนนเก็บ!L64="","",คะแนนเก็บ!L64)</f>
        <v/>
      </c>
      <c r="K61" t="str">
        <f>IF(คะแนนเก็บ!M64="","",คะแนนเก็บ!M64)</f>
        <v/>
      </c>
      <c r="L61" t="str">
        <f>IF(คะแนนเก็บ!N64="","",คะแนนเก็บ!N64)</f>
        <v/>
      </c>
      <c r="M61" t="str">
        <f>IF(คะแนนเก็บ!O64="","",คะแนนเก็บ!O64)</f>
        <v/>
      </c>
      <c r="N61" t="str">
        <f>IF(คะแนนเก็บ!P64="","",คะแนนเก็บ!P64)</f>
        <v/>
      </c>
      <c r="O61" t="str">
        <f>IF(คะแนนเก็บ!Q64="","",คะแนนเก็บ!Q64)</f>
        <v/>
      </c>
      <c r="P61" t="str">
        <f>IF(คะแนนเก็บ!R64="","",คะแนนเก็บ!R64)</f>
        <v/>
      </c>
      <c r="Q61" t="str">
        <f>IF(คะแนนเก็บ!S64="","",คะแนนเก็บ!S64)</f>
        <v/>
      </c>
      <c r="R61" t="str">
        <f>IF(คะแนนเก็บ!T64="","",คะแนนเก็บ!T64)</f>
        <v/>
      </c>
      <c r="S61" t="str">
        <f>IF(คะแนนเก็บ!U64="","",คะแนนเก็บ!U64)</f>
        <v/>
      </c>
      <c r="T61" t="str">
        <f>IF(คะแนนเก็บ!V64="","",คะแนนเก็บ!V64)</f>
        <v/>
      </c>
      <c r="U61" t="str">
        <f>IF(คะแนนเก็บ!W64="","",คะแนนเก็บ!W64)</f>
        <v/>
      </c>
      <c r="V61" t="str">
        <f>IF(คะแนนเก็บหลังกลางภาค!D64="","",คะแนนเก็บหลังกลางภาค!D64)</f>
        <v/>
      </c>
      <c r="W61" t="str">
        <f>IF(คะแนนเก็บหลังกลางภาค!E64="","",คะแนนเก็บหลังกลางภาค!E64)</f>
        <v/>
      </c>
      <c r="X61" t="str">
        <f>IF(คะแนนเก็บหลังกลางภาค!F64="","",คะแนนเก็บหลังกลางภาค!F64)</f>
        <v/>
      </c>
      <c r="Y61" t="str">
        <f>IF(คะแนนเก็บหลังกลางภาค!G64="","",คะแนนเก็บหลังกลางภาค!G64)</f>
        <v/>
      </c>
      <c r="Z61" t="str">
        <f>IF(คะแนนเก็บหลังกลางภาค!H64="","",คะแนนเก็บหลังกลางภาค!H64)</f>
        <v/>
      </c>
      <c r="AA61" t="str">
        <f>IF(คะแนนเก็บหลังกลางภาค!I64="","",คะแนนเก็บหลังกลางภาค!I64)</f>
        <v/>
      </c>
      <c r="AB61" t="str">
        <f>IF(คะแนนเก็บหลังกลางภาค!J64="","",คะแนนเก็บหลังกลางภาค!J64)</f>
        <v/>
      </c>
      <c r="AC61" t="str">
        <f>IF(คะแนนเก็บหลังกลางภาค!K64="","",คะแนนเก็บหลังกลางภาค!K64)</f>
        <v/>
      </c>
      <c r="AD61" t="str">
        <f>IF(คะแนนเก็บหลังกลางภาค!L64="","",คะแนนเก็บหลังกลางภาค!L64)</f>
        <v/>
      </c>
      <c r="AE61" t="str">
        <f>IF(คะแนนเก็บหลังกลางภาค!M64="","",คะแนนเก็บหลังกลางภาค!M64)</f>
        <v/>
      </c>
      <c r="AF61" t="str">
        <f>IF(คะแนนเก็บหลังกลางภาค!N64="","",คะแนนเก็บหลังกลางภาค!N64)</f>
        <v/>
      </c>
      <c r="AG61" t="str">
        <f>IF(คะแนนเก็บหลังกลางภาค!O64="","",คะแนนเก็บหลังกลางภาค!O64)</f>
        <v/>
      </c>
      <c r="AH61" t="str">
        <f>IF(คะแนนเก็บหลังกลางภาค!P64="","",คะแนนเก็บหลังกลางภาค!P64)</f>
        <v/>
      </c>
      <c r="AI61" t="str">
        <f>IF(คะแนนเก็บหลังกลางภาค!Q64="","",คะแนนเก็บหลังกลางภาค!Q64)</f>
        <v/>
      </c>
      <c r="AJ61" t="str">
        <f>IF(คะแนนเก็บหลังกลางภาค!R64="","",คะแนนเก็บหลังกลางภาค!R64)</f>
        <v/>
      </c>
      <c r="AK61" t="str">
        <f>IF(คะแนนเก็บหลังกลางภาค!S64="","",คะแนนเก็บหลังกลางภาค!S64)</f>
        <v/>
      </c>
      <c r="AL61" t="str">
        <f>IF(คะแนนเก็บหลังกลางภาค!T64="","",คะแนนเก็บหลังกลางภาค!T64)</f>
        <v/>
      </c>
      <c r="AM61" t="str">
        <f>IF(คะแนนเก็บหลังกลางภาค!U64="","",คะแนนเก็บหลังกลางภาค!U64)</f>
        <v/>
      </c>
      <c r="AN61" t="str">
        <f>IF(คะแนนเก็บหลังกลางภาค!V64="","",คะแนนเก็บหลังกลางภาค!V64)</f>
        <v/>
      </c>
      <c r="AO61" t="str">
        <f>IF(คะแนนเก็บหลังกลางภาค!W64="","",คะแนนเก็บหลังกลางภาค!W64)</f>
        <v/>
      </c>
      <c r="AP61" t="str">
        <f>IF(คุณลักษณะอันพึงประสงค์!D64="","",คุณลักษณะอันพึงประสงค์!D64)</f>
        <v/>
      </c>
      <c r="AQ61" t="str">
        <f>IF(คุณลักษณะอันพึงประสงค์!E64="","",คุณลักษณะอันพึงประสงค์!E64)</f>
        <v/>
      </c>
      <c r="AR61" t="str">
        <f>IF(คุณลักษณะอันพึงประสงค์!F64="","",คุณลักษณะอันพึงประสงค์!F64)</f>
        <v/>
      </c>
      <c r="AS61" t="str">
        <f>IF(คุณลักษณะอันพึงประสงค์!G64="","",คุณลักษณะอันพึงประสงค์!G64)</f>
        <v/>
      </c>
      <c r="AT61" t="str">
        <f>IF(คุณลักษณะอันพึงประสงค์!H64="","",คุณลักษณะอันพึงประสงค์!H64)</f>
        <v/>
      </c>
      <c r="AU61" t="str">
        <f>IF(คุณลักษณะอันพึงประสงค์!I64="","",คุณลักษณะอันพึงประสงค์!I64)</f>
        <v/>
      </c>
      <c r="AV61" t="str">
        <f>IF(คุณลักษณะอันพึงประสงค์!J64="","",คุณลักษณะอันพึงประสงค์!J64)</f>
        <v/>
      </c>
      <c r="AW61" t="str">
        <f>IF(คุณลักษณะอันพึงประสงค์!K64="","",คุณลักษณะอันพึงประสงค์!K64)</f>
        <v/>
      </c>
      <c r="AX61" t="str">
        <f>IF(คุณลักษณะอันพึงประสงค์!L64="","",คุณลักษณะอันพึงประสงค์!L64)</f>
        <v/>
      </c>
      <c r="AY61" t="str">
        <f>IF(คุณลักษณะอันพึงประสงค์!M64="","",คุณลักษณะอันพึงประสงค์!M64)</f>
        <v/>
      </c>
      <c r="AZ61" t="str">
        <f>IF(กลางภาค!D64="","",กลางภาค!D64)</f>
        <v/>
      </c>
      <c r="BA61" t="str">
        <f>IF(กลางภาค!E64="","",กลางภาค!E64)</f>
        <v/>
      </c>
      <c r="BB61" t="str">
        <f>IF(กลางภาค!F64="","",กลางภาค!F64)</f>
        <v/>
      </c>
      <c r="BC61" t="str">
        <f>IF(กลางภาค!G64="","",กลางภาค!G64)</f>
        <v/>
      </c>
      <c r="BD61" t="str">
        <f>IF(กลางภาค!H64="","",กลางภาค!H64)</f>
        <v/>
      </c>
      <c r="BE61" t="str">
        <f>IF(กลางภาค!I64="","",กลางภาค!I64)</f>
        <v/>
      </c>
      <c r="BF61" t="str">
        <f>IF(กลางภาค!J64="","",กลางภาค!J64)</f>
        <v/>
      </c>
      <c r="BG61" t="str">
        <f>IF(กลางภาค!K64="","",กลางภาค!K64)</f>
        <v/>
      </c>
      <c r="BH61" t="str">
        <f>IF(กลางภาค!L64="","",กลางภาค!L64)</f>
        <v/>
      </c>
      <c r="BI61" t="str">
        <f>IF(กลางภาค!M64="","",กลางภาค!M64)</f>
        <v/>
      </c>
      <c r="BJ61" t="str">
        <f>IF(ปลายภาค!D64="","",ปลายภาค!D64)</f>
        <v/>
      </c>
      <c r="BK61" t="str">
        <f>IF(ปลายภาค!E64="","",ปลายภาค!E64)</f>
        <v/>
      </c>
      <c r="BL61" t="str">
        <f>IF(ปลายภาค!F64="","",ปลายภาค!F64)</f>
        <v/>
      </c>
      <c r="BM61" t="str">
        <f>IF(ปลายภาค!G64="","",ปลายภาค!G64)</f>
        <v/>
      </c>
      <c r="BN61" t="str">
        <f>IF(ปลายภาค!H64="","",ปลายภาค!H64)</f>
        <v/>
      </c>
      <c r="BO61" t="str">
        <f>IF(ปลายภาค!I64="","",ปลายภาค!I64)</f>
        <v/>
      </c>
      <c r="BP61" t="str">
        <f>IF(ปลายภาค!J64="","",ปลายภาค!J64)</f>
        <v/>
      </c>
      <c r="BQ61" t="str">
        <f>IF(ปลายภาค!K64="","",ปลายภาค!K64)</f>
        <v/>
      </c>
      <c r="BR61" t="str">
        <f>IF(ปลายภาค!L64="","",ปลายภาค!L64)</f>
        <v/>
      </c>
      <c r="BS61" t="str">
        <f>IF(ปลายภาค!M64="","",ปลายภาค!M64)</f>
        <v/>
      </c>
      <c r="BT61" t="str">
        <f>IF(กลางภาค!N64="","",กลางภาค!N64)</f>
        <v/>
      </c>
      <c r="BU61" t="str">
        <f>IF(ปลายภาค!N64="","",ปลายภาค!N64)</f>
        <v/>
      </c>
      <c r="BV61" t="str">
        <f>IF(คุณลักษณะอันพึงประสงค์!X64="","",คุณลักษณะอันพึงประสงค์!X64)</f>
        <v/>
      </c>
      <c r="BW61" t="str">
        <f>IF(อ่านคิดวิเคราะห์!I64="","",อ่านคิดวิเคราะห์!I64)</f>
        <v/>
      </c>
      <c r="BX61" t="str">
        <f>IF(สมรรถนะ!N64="","",สมรรถนะ!N64)</f>
        <v/>
      </c>
      <c r="BY61" t="str">
        <f>IF(อ่านคิดวิเคราะห์!D64="","",อ่านคิดวิเคราะห์!D64)</f>
        <v/>
      </c>
      <c r="BZ61" t="str">
        <f>IF(อ่านคิดวิเคราะห์!E64="","",อ่านคิดวิเคราะห์!E64)</f>
        <v/>
      </c>
      <c r="CA61" t="str">
        <f>IF(อ่านคิดวิเคราะห์!F64="","",อ่านคิดวิเคราะห์!F64)</f>
        <v/>
      </c>
      <c r="CB61" t="str">
        <f>IF(อ่านคิดวิเคราะห์!G64="","",อ่านคิดวิเคราะห์!G64)</f>
        <v/>
      </c>
      <c r="CC61" t="str">
        <f>IF(อ่านคิดวิเคราะห์!H64="","",อ่านคิดวิเคราะห์!H64)</f>
        <v/>
      </c>
      <c r="CD61" t="str">
        <f>IF(สมรรถนะ!D64="","",สมรรถนะ!D64)</f>
        <v/>
      </c>
      <c r="CE61" t="str">
        <f>IF(สมรรถนะ!E64="","",สมรรถนะ!E64)</f>
        <v/>
      </c>
      <c r="CF61" t="str">
        <f>IF(สมรรถนะ!F64="","",สมรรถนะ!F64)</f>
        <v/>
      </c>
      <c r="CG61" t="str">
        <f>IF(สมรรถนะ!G64="","",สมรรถนะ!G64)</f>
        <v/>
      </c>
      <c r="CH61" t="str">
        <f>IF(สมรรถนะ!H64="","",สมรรถนะ!H64)</f>
        <v/>
      </c>
      <c r="CI61" t="str">
        <f>IF(สมรรถนะ!I64="","",สมรรถนะ!I64)</f>
        <v/>
      </c>
      <c r="CJ61" t="str">
        <f>IF(สมรรถนะ!J64="","",สมรรถนะ!J64)</f>
        <v/>
      </c>
      <c r="CK61" t="str">
        <f>IF(สมรรถนะ!K64="","",สมรรถนะ!K64)</f>
        <v/>
      </c>
      <c r="CL61" t="str">
        <f>IF(สมรรถนะ!L64="","",สมรรถนะ!L64)</f>
        <v/>
      </c>
      <c r="CM61" t="str">
        <f>IF(สมรรถนะ!M64="","",สมรรถนะ!M64)</f>
        <v/>
      </c>
      <c r="CN61">
        <f>IF(คุณลักษณะอันพึงประสงค์!N64="","",คุณลักษณะอันพึงประสงค์!N64)</f>
        <v>2</v>
      </c>
      <c r="CO61" t="str">
        <f>IF(คุณลักษณะอันพึงประสงค์!O64="","",คุณลักษณะอันพึงประสงค์!O64)</f>
        <v/>
      </c>
      <c r="CP61" t="str">
        <f>IF(คุณลักษณะอันพึงประสงค์!P64="","",คุณลักษณะอันพึงประสงค์!P64)</f>
        <v/>
      </c>
      <c r="CQ61" t="str">
        <f>IF(คุณลักษณะอันพึงประสงค์!Q64="","",คุณลักษณะอันพึงประสงค์!Q64)</f>
        <v/>
      </c>
      <c r="CR61" t="str">
        <f>IF(คุณลักษณะอันพึงประสงค์!R64="","",คุณลักษณะอันพึงประสงค์!R64)</f>
        <v/>
      </c>
      <c r="CS61" t="str">
        <f>IF(คุณลักษณะอันพึงประสงค์!S64="","",คุณลักษณะอันพึงประสงค์!S64)</f>
        <v/>
      </c>
      <c r="CT61" t="str">
        <f>IF(คุณลักษณะอันพึงประสงค์!T64="","",คุณลักษณะอันพึงประสงค์!T64)</f>
        <v/>
      </c>
      <c r="CU61" t="str">
        <f>IF(คุณลักษณะอันพึงประสงค์!U64="","",คุณลักษณะอันพึงประสงค์!U64)</f>
        <v/>
      </c>
      <c r="CV61" t="str">
        <f>IF(คุณลักษณะอันพึงประสงค์!V64="","",คุณลักษณะอันพึงประสงค์!V64)</f>
        <v/>
      </c>
      <c r="CW61">
        <f>IF(คุณลักษณะอันพึงประสงค์!W64="","",คุณลักษณะอันพึงประสงค์!W64)</f>
        <v>1</v>
      </c>
    </row>
  </sheetData>
  <sheetProtection algorithmName="SHA-512" hashValue="zG+wdrRpHd/dG90UwZhcO95Xc1bBslwOQ13hNYLbWQmi08hgg/fxiEGl9zPs+WHRXltKzDWQIWJx5KdqHFATAQ==" saltValue="FMhVPtqtVVbfdzDHx79/RA==" spinCount="100000" sheet="1" selectLockedCells="1"/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1C76-2FC2-4FD5-85F2-138F44941D07}">
  <dimension ref="A1:B15"/>
  <sheetViews>
    <sheetView workbookViewId="0">
      <selection activeCell="B15" sqref="B15"/>
    </sheetView>
  </sheetViews>
  <sheetFormatPr defaultRowHeight="14.45"/>
  <sheetData>
    <row r="1" spans="1:2">
      <c r="A1" t="s">
        <v>431</v>
      </c>
    </row>
    <row r="2" spans="1:2">
      <c r="A2" t="s">
        <v>432</v>
      </c>
      <c r="B2" t="s">
        <v>433</v>
      </c>
    </row>
    <row r="3" spans="1:2">
      <c r="B3" t="s">
        <v>434</v>
      </c>
    </row>
    <row r="4" spans="1:2">
      <c r="A4" t="s">
        <v>435</v>
      </c>
      <c r="B4" t="s">
        <v>436</v>
      </c>
    </row>
    <row r="5" spans="1:2">
      <c r="B5" t="s">
        <v>437</v>
      </c>
    </row>
    <row r="6" spans="1:2">
      <c r="B6" t="s">
        <v>438</v>
      </c>
    </row>
    <row r="7" spans="1:2">
      <c r="B7" t="s">
        <v>439</v>
      </c>
    </row>
    <row r="8" spans="1:2">
      <c r="B8" t="s">
        <v>440</v>
      </c>
    </row>
    <row r="9" spans="1:2">
      <c r="B9" t="s">
        <v>441</v>
      </c>
    </row>
    <row r="10" spans="1:2">
      <c r="B10" t="s">
        <v>442</v>
      </c>
    </row>
    <row r="11" spans="1:2">
      <c r="B11" t="s">
        <v>443</v>
      </c>
    </row>
    <row r="12" spans="1:2">
      <c r="B12" t="s">
        <v>444</v>
      </c>
    </row>
    <row r="13" spans="1:2">
      <c r="B13" t="s">
        <v>445</v>
      </c>
    </row>
    <row r="14" spans="1:2">
      <c r="B14" t="s">
        <v>446</v>
      </c>
    </row>
    <row r="15" spans="1:2">
      <c r="A15" t="s">
        <v>447</v>
      </c>
      <c r="B15" t="s">
        <v>448</v>
      </c>
    </row>
  </sheetData>
  <sheetProtection algorithmName="SHA-512" hashValue="ic3R3PxaAOyUyZl3iVBNZ3amirbeGhMqATJLPTs2lvu4gP3OGKPxNkNLKVaPAK/koBGIhWmjFPcilpZiU593/A==" saltValue="Fjh8g7iT3HeHf9n0EbPO1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Narin</dc:creator>
  <cp:keywords/>
  <dc:description/>
  <cp:lastModifiedBy>Narin Khurana</cp:lastModifiedBy>
  <cp:revision/>
  <dcterms:created xsi:type="dcterms:W3CDTF">2018-11-12T06:01:01Z</dcterms:created>
  <dcterms:modified xsi:type="dcterms:W3CDTF">2026-06-12T06:49:11Z</dcterms:modified>
  <cp:category/>
  <cp:contentStatus/>
</cp:coreProperties>
</file>